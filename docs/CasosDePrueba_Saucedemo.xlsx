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QA Portfolio\Saucedema QA Project\"/>
    </mc:Choice>
  </mc:AlternateContent>
  <xr:revisionPtr revIDLastSave="0" documentId="8_{E5B3405B-9AFF-4CEA-BC4B-D7DD41666EFC}" xr6:coauthVersionLast="47" xr6:coauthVersionMax="47" xr10:uidLastSave="{00000000-0000-0000-0000-000000000000}"/>
  <bookViews>
    <workbookView xWindow="28680" yWindow="-60" windowWidth="29040" windowHeight="16440" tabRatio="500" xr2:uid="{00000000-000D-0000-FFFF-FFFF00000000}"/>
  </bookViews>
  <sheets>
    <sheet name="Casos de Prueba" sheetId="1" r:id="rId1"/>
    <sheet name="Bug Reports" sheetId="2" r:id="rId2"/>
    <sheet name="Dashboard"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4" i="3" l="1"/>
  <c r="B13" i="3"/>
  <c r="B8" i="3"/>
  <c r="B7" i="3"/>
  <c r="B6" i="3"/>
  <c r="B5" i="3"/>
  <c r="B4" i="3"/>
  <c r="B9" i="3" l="1"/>
</calcChain>
</file>

<file path=xl/sharedStrings.xml><?xml version="1.0" encoding="utf-8"?>
<sst xmlns="http://schemas.openxmlformats.org/spreadsheetml/2006/main" count="401" uniqueCount="256">
  <si>
    <t>CASOS DE PRUEBA — Saucedemo.com QA Portfolio Project</t>
  </si>
  <si>
    <t>Aplicacion: https://www.saucedemo.com</t>
  </si>
  <si>
    <t>Version: 1.0  |  Fecha: Abril 2025</t>
  </si>
  <si>
    <t>ID</t>
  </si>
  <si>
    <t>Modulo</t>
  </si>
  <si>
    <t>Titulo del Caso</t>
  </si>
  <si>
    <t>Precondiciones</t>
  </si>
  <si>
    <t>Pasos de Ejecucion</t>
  </si>
  <si>
    <t>Resultado Esperado</t>
  </si>
  <si>
    <t>Resultado Real</t>
  </si>
  <si>
    <t>Estado</t>
  </si>
  <si>
    <t>Severidad Bug</t>
  </si>
  <si>
    <t>Prioridad</t>
  </si>
  <si>
    <t>Ejecutado por</t>
  </si>
  <si>
    <t>Notas</t>
  </si>
  <si>
    <t>TC-001</t>
  </si>
  <si>
    <t>M-01 Autenticacion</t>
  </si>
  <si>
    <t>Login exitoso con credenciales validas</t>
  </si>
  <si>
    <t>Usuario en pagina de login (https://www.saucedemo.com)</t>
  </si>
  <si>
    <t>1. Ingresar 'standard_user' en campo Username
2. Ingresar 'secret_sauce' en campo Password
3. Clic en boton 'Login'</t>
  </si>
  <si>
    <t>El sistema redirige al catalogo de productos (/inventory.html). Badge del carrito visible. Header con menu hamburguesa visible.</t>
  </si>
  <si>
    <t>Pass</t>
  </si>
  <si>
    <t>Alta</t>
  </si>
  <si>
    <t>Caso principal del flujo de autenticacion</t>
  </si>
  <si>
    <t>TC-002</t>
  </si>
  <si>
    <t>Login fallido con contrasena incorrecta</t>
  </si>
  <si>
    <t>Usuario en pagina de login</t>
  </si>
  <si>
    <t>1. Ingresar 'standard_user' en campo Username
2. Ingresar 'password_incorrecta' en campo Password
3. Clic en boton 'Login'</t>
  </si>
  <si>
    <t>Se muestra mensaje de error: 'Username and password do not match any user in this service'. No se realiza redireccion.</t>
  </si>
  <si>
    <t>Validar que el mensaje de error sea exacto</t>
  </si>
  <si>
    <t>TC-003</t>
  </si>
  <si>
    <t>Login con campos vacios</t>
  </si>
  <si>
    <t>1. Dejar campo Username vacio
2. Dejar campo Password vacio
3. Clic en boton 'Login'</t>
  </si>
  <si>
    <t>Se muestra mensaje de error indicando que el campo Username es requerido. No se realiza redireccion.</t>
  </si>
  <si>
    <t>Probar tambien con solo Username vacio y solo Password vacio</t>
  </si>
  <si>
    <t>TC-004</t>
  </si>
  <si>
    <t>Login con usuario bloqueado (locked_out_user)</t>
  </si>
  <si>
    <t>1. Ingresar 'locked_out_user' en campo Username
2. Ingresar 'secret_sauce' en campo Password
3. Clic en boton 'Login'</t>
  </si>
  <si>
    <t>Se muestra mensaje de error: 'Sorry, this user has been locked out.' No se realiza redireccion.</t>
  </si>
  <si>
    <t>Verificar exactamente el mensaje mostrado</t>
  </si>
  <si>
    <t>TC-005</t>
  </si>
  <si>
    <t>Logout exitoso del sistema</t>
  </si>
  <si>
    <t>Usuario autenticado en el catalogo de productos</t>
  </si>
  <si>
    <t>1. Clic en el icono de menu hamburguesa (arriba izquierda)
2. Clic en opcion 'Logout'
3. Confirmar redireccion</t>
  </si>
  <si>
    <t>El sistema cierra la sesion y redirige a la pagina de login. Los campos de login estan vacios.</t>
  </si>
  <si>
    <t>Verificar que no sea posible regresar con el boton 'Atras'</t>
  </si>
  <si>
    <t>TC-006</t>
  </si>
  <si>
    <t>Acceso directo a inventory sin sesion activa</t>
  </si>
  <si>
    <t>Ningun usuario autenticado en el navegador</t>
  </si>
  <si>
    <t>1. Abrir el navegador sin sesion activa
2. Navegar directamente a https://www.saucedemo.com/inventory.html</t>
  </si>
  <si>
    <t>El sistema redirige automaticamente a la pagina de login. No se muestra el catalogo sin autenticacion.</t>
  </si>
  <si>
    <t>Media</t>
  </si>
  <si>
    <t>Verificar proteccion de rutas</t>
  </si>
  <si>
    <t>TC-007</t>
  </si>
  <si>
    <t>M-02 Catalogo</t>
  </si>
  <si>
    <t>Visualizacion de productos en el catalogo</t>
  </si>
  <si>
    <t>1. Iniciar sesion exitosamente
2. Observar la pagina de inventario</t>
  </si>
  <si>
    <t>Se muestran 6 productos con: nombre, descripcion, precio y boton 'Add to cart'. Las imagenes cargan correctamente.</t>
  </si>
  <si>
    <t>Contar exactamente 6 productos visibles</t>
  </si>
  <si>
    <t>TC-008</t>
  </si>
  <si>
    <t>Filtro de productos: Precio de menor a mayor</t>
  </si>
  <si>
    <t>Usuario autenticado, en pagina de catalogo</t>
  </si>
  <si>
    <t>1. Clic en el dropdown de filtro (arriba derecha)
2. Seleccionar 'Price (low to high)'</t>
  </si>
  <si>
    <t>Los 6 productos se reordenan mostrando primero el de menor precio ($7.99) y al final el de mayor precio.</t>
  </si>
  <si>
    <t>Verificar el precio del primer y ultimo producto</t>
  </si>
  <si>
    <t>TC-009</t>
  </si>
  <si>
    <t>Filtro de productos: Precio de mayor a menor</t>
  </si>
  <si>
    <t>1. Clic en el dropdown de filtro
2. Seleccionar 'Price (high to low)'</t>
  </si>
  <si>
    <t>Los productos se reordenan mostrando primero el de mayor precio y al final el de menor precio.</t>
  </si>
  <si>
    <t>TC-010</t>
  </si>
  <si>
    <t>Filtro de productos: Nombre A-Z</t>
  </si>
  <si>
    <t>1. Clic en el dropdown de filtro
2. Seleccionar 'Name (A to Z)'</t>
  </si>
  <si>
    <t>Los productos se muestran ordenados alfabeticamente de la A a la Z.</t>
  </si>
  <si>
    <t>TC-011</t>
  </si>
  <si>
    <t>Filtro de productos: Nombre Z-A</t>
  </si>
  <si>
    <t>1. Clic en el dropdown de filtro
2. Seleccionar 'Name (Z to A)'</t>
  </si>
  <si>
    <t>Los productos se muestran ordenados alfabeticamente de la Z a la A.</t>
  </si>
  <si>
    <t>TC-012</t>
  </si>
  <si>
    <t>Ver detalle de un producto</t>
  </si>
  <si>
    <t>1. Clic en el nombre o imagen de cualquier producto
2. Observar la pagina de detalle</t>
  </si>
  <si>
    <t>Se muestra la pagina de detalle con: nombre completo, descripcion, precio, imagen ampliada y boton 'Add to cart'. Boton 'Back to products' visible.</t>
  </si>
  <si>
    <t>Probar con al menos 2 productos distintos</t>
  </si>
  <si>
    <t>TC-013</t>
  </si>
  <si>
    <t>M-03 Carrito</t>
  </si>
  <si>
    <t>Agregar un producto al carrito desde el catalogo</t>
  </si>
  <si>
    <t>1. Clic en boton 'Add to cart' de cualquier producto
2. Observar el badge del carrito</t>
  </si>
  <si>
    <t>El boton cambia a 'Remove'. El badge del icono del carrito muestra el numero '1'.</t>
  </si>
  <si>
    <t>TC-014</t>
  </si>
  <si>
    <t>Agregar multiples productos al carrito</t>
  </si>
  <si>
    <t>1. Clic en 'Add to cart' del producto 1
2. Clic en 'Add to cart' del producto 2
3. Clic en 'Add to cart' del producto 3
4. Observar badge del carrito</t>
  </si>
  <si>
    <t>El badge del carrito muestra el numero '3'. Los tres botones cambian a 'Remove'.</t>
  </si>
  <si>
    <t>TC-015</t>
  </si>
  <si>
    <t>Remover un producto del carrito desde el catalogo</t>
  </si>
  <si>
    <t>Usuario autenticado, con al menos 1 producto en el carrito</t>
  </si>
  <si>
    <t>1. Clic en boton 'Remove' del producto agregado
2. Observar badge del carrito</t>
  </si>
  <si>
    <t>El boton vuelve a mostrar 'Add to cart'. El badge del carrito decrementa en 1 o desaparece si era el ultimo producto.</t>
  </si>
  <si>
    <t>TC-016</t>
  </si>
  <si>
    <t>Ver los productos dentro del carrito</t>
  </si>
  <si>
    <t>1. Clic en el icono del carrito (arriba derecha)
2. Observar la pagina del carrito</t>
  </si>
  <si>
    <t>Se muestra la pagina del carrito con los productos agregados: nombre, descripcion, precio y cantidad. Botones 'Continue Shopping' y 'Checkout' visibles.</t>
  </si>
  <si>
    <t>TC-017</t>
  </si>
  <si>
    <t>Remover un producto desde la pagina del carrito</t>
  </si>
  <si>
    <t>Usuario autenticado, con al menos 2 productos en el carrito, en la pagina del carrito</t>
  </si>
  <si>
    <t>1. Clic en boton 'Remove' de un producto dentro del carrito
2. Observar los productos restantes</t>
  </si>
  <si>
    <t>El producto eliminado desaparece de la lista. El badge del carrito en el header decrementa en 1. Los demas productos permanecen.</t>
  </si>
  <si>
    <t>TC-018</t>
  </si>
  <si>
    <t>M-04 Checkout</t>
  </si>
  <si>
    <t>Iniciar checkout con productos en el carrito</t>
  </si>
  <si>
    <t>Usuario autenticado, con al menos 1 producto en el carrito, en la pagina del carrito</t>
  </si>
  <si>
    <t>1. Clic en boton 'Checkout'
2. Observar la siguiente pantalla</t>
  </si>
  <si>
    <t>El sistema redirige al formulario de informacion del cliente (Checkout Step One). Campos visibles: First Name, Last Name, Zip/Postal Code.</t>
  </si>
  <si>
    <t>TC-019</t>
  </si>
  <si>
    <t>Completar formulario de checkout con datos validos</t>
  </si>
  <si>
    <t>Usuario en la pagina 'Checkout: Your Information'</t>
  </si>
  <si>
    <t>1. Ingresar 'Juan' en campo First Name
2. Ingresar 'Perez' en campo Last Name
3. Ingresar '10101' en campo Zip Code
4. Clic en boton 'Continue'</t>
  </si>
  <si>
    <t>El sistema redirige al resumen del pedido (Checkout Step Two) mostrando: productos, subtotal, impuesto y total.</t>
  </si>
  <si>
    <t>TC-020</t>
  </si>
  <si>
    <t>Checkout con campos del formulario vacios</t>
  </si>
  <si>
    <t>1. Dejar todos los campos vacios
2. Clic en boton 'Continue'</t>
  </si>
  <si>
    <t>Se muestra mensaje de error indicando que el campo First Name es requerido. No se realiza redireccion.</t>
  </si>
  <si>
    <t>Probar cada campo vacio de forma individual</t>
  </si>
  <si>
    <t>TC-021</t>
  </si>
  <si>
    <t>Verificar resumen y calculo del total</t>
  </si>
  <si>
    <t>1. Observar el resumen del pedido
2. Verificar: Item total, Tax y Order Total</t>
  </si>
  <si>
    <t>El 'Item total' muestra el precio correcto. El 'Tax' es el 8% del subtotal. El 'Total' es la suma de Item total + Tax.</t>
  </si>
  <si>
    <t>Calcular manualmente para validar</t>
  </si>
  <si>
    <t>TC-022</t>
  </si>
  <si>
    <t>Confirmar la compra (Finish)</t>
  </si>
  <si>
    <t>Usuario en la pagina 'Checkout: Overview'</t>
  </si>
  <si>
    <t>1. Revisar el resumen del pedido
2. Clic en boton 'Finish'</t>
  </si>
  <si>
    <t>El sistema redirige a la pagina de confirmacion con el mensaje 'Thank you for your order!' y el texto 'Your order has been dispatched'. El carrito aparece vacio.</t>
  </si>
  <si>
    <t>Verificar que el badge del carrito desaparezca</t>
  </si>
  <si>
    <t>TC-023</t>
  </si>
  <si>
    <t>Cancelar el checkout y regresar al catalogo</t>
  </si>
  <si>
    <t>1. Clic en boton 'Cancel'</t>
  </si>
  <si>
    <t>El sistema regresa a la pagina del carrito. Los productos en el carrito permanecen sin cambios.</t>
  </si>
  <si>
    <t>TC-024</t>
  </si>
  <si>
    <t>Cancelar desde el resumen y regresar</t>
  </si>
  <si>
    <t>El sistema regresa al catalogo de productos. Los productos en el carrito permanecen.</t>
  </si>
  <si>
    <t>TC-025</t>
  </si>
  <si>
    <t>M-05 Navegacion</t>
  </si>
  <si>
    <t>Navegar de regreso al catalogo desde detalle de producto</t>
  </si>
  <si>
    <t>Usuario autenticado, en la pagina de detalle de un producto</t>
  </si>
  <si>
    <t>1. Clic en el boton 'Back to products'</t>
  </si>
  <si>
    <t>El sistema regresa al catalogo de productos. El estado del carrito (badge) permanece sin cambios.</t>
  </si>
  <si>
    <t>TC-026</t>
  </si>
  <si>
    <t>Acceder a 'About' desde el menu hamburguesa</t>
  </si>
  <si>
    <t>Usuario autenticado en cualquier pagina</t>
  </si>
  <si>
    <t>1. Clic en icono de menu hamburguesa
2. Clic en 'About'</t>
  </si>
  <si>
    <t>El sistema redirige al sitio oficial de Saucedemo/Sauce Labs en una nueva pagina o en la misma ventana.</t>
  </si>
  <si>
    <t>Baja</t>
  </si>
  <si>
    <t>TC-027</t>
  </si>
  <si>
    <t>Resetear el estado de la app desde el menu</t>
  </si>
  <si>
    <t>Usuario autenticado con productos en el carrito</t>
  </si>
  <si>
    <t>1. Clic en menu hamburguesa
2. Clic en 'Reset App State'
3. Observar el carrito</t>
  </si>
  <si>
    <t>El badge del carrito desaparece. Todos los botones de productos vuelven a mostrar 'Add to cart'. La sesion permanece activa.</t>
  </si>
  <si>
    <t>BUG REPORT — Saucedemo.com QA Portfolio Project</t>
  </si>
  <si>
    <t>Formato profesional de reporte de defectos — Usar una fila por bug encontrado</t>
  </si>
  <si>
    <t>Bug ID</t>
  </si>
  <si>
    <t>Titulo del Bug</t>
  </si>
  <si>
    <t>TC Relacionado</t>
  </si>
  <si>
    <t>Ambiente</t>
  </si>
  <si>
    <t>Pasos para Reproducir</t>
  </si>
  <si>
    <t>Resultado Esperado vs Real</t>
  </si>
  <si>
    <t>Severidad</t>
  </si>
  <si>
    <t>Reportado por</t>
  </si>
  <si>
    <t>Fecha</t>
  </si>
  <si>
    <t>Screenshot/Evidencia</t>
  </si>
  <si>
    <t>BUG-001</t>
  </si>
  <si>
    <t>Chrome 124 / Windows 10</t>
  </si>
  <si>
    <t>Major</t>
  </si>
  <si>
    <t>Abierto</t>
  </si>
  <si>
    <t>Abr 2025</t>
  </si>
  <si>
    <t>Ver screenshot BUG-001.png</t>
  </si>
  <si>
    <t>BUG-002</t>
  </si>
  <si>
    <t>Minor</t>
  </si>
  <si>
    <t>Ver screenshot BUG-002.png</t>
  </si>
  <si>
    <t>BUG-003</t>
  </si>
  <si>
    <t>Boton 'Add to cart' no responde para algunos productos con problem_user</t>
  </si>
  <si>
    <t>ESPERADO: Producto se agrega al carrito, badge muestra '1'
REAL: El badge no se actualiza. El producto no se agrega al carrito.</t>
  </si>
  <si>
    <t>Critical</t>
  </si>
  <si>
    <t>Ver screenshot BUG-003.png</t>
  </si>
  <si>
    <t>RESUMEN DE EJECUCION — QA Portfolio Dashboard</t>
  </si>
  <si>
    <t>METRICAS GENERALES</t>
  </si>
  <si>
    <t>CASOS POR MODULO</t>
  </si>
  <si>
    <t>Total de Casos de Prueba</t>
  </si>
  <si>
    <t>casos de prueba</t>
  </si>
  <si>
    <t>TC Pass</t>
  </si>
  <si>
    <t>TC Fail</t>
  </si>
  <si>
    <t>TC Blocked</t>
  </si>
  <si>
    <t>TC Pending</t>
  </si>
  <si>
    <t>Cobertura (%)</t>
  </si>
  <si>
    <t>Total Bugs Reportados</t>
  </si>
  <si>
    <t>Bugs Criticos</t>
  </si>
  <si>
    <t>Bugs Mayores</t>
  </si>
  <si>
    <t>Bugs Menores</t>
  </si>
  <si>
    <t>Dashboard generado automaticamente — los valores se actualizan al editar los estados en la hoja 'Casos de Prueba'</t>
  </si>
  <si>
    <t>Tester: Enmanuel Villegas Duarte</t>
  </si>
  <si>
    <t>Enmanuel Villegas Duarte</t>
  </si>
  <si>
    <t>Sistema redirige al usuario a /inventory.html. Header visible con opcion de menu e icono de carrito de compras disponible.</t>
  </si>
  <si>
    <t>Se muestra al usuario el mensade error esperado. No se realiza redireccion.</t>
  </si>
  <si>
    <t>El sistema cierra la sesion al usuario y redirige a la pagina de login. Campos de login se encuentran vacios.</t>
  </si>
  <si>
    <t>Se muestra al usuario un mensaje de error. Sistema redirige a la pagina de login. No se muestra el catalogo al usuario.</t>
  </si>
  <si>
    <t>Con standard_user funciona correctamente, pero al ingresar con problem_user las imágenes de los productos no corresponden al artículo.</t>
  </si>
  <si>
    <t>Fail</t>
  </si>
  <si>
    <t>Con standard_user los productos se ordenan exitosamente utilizando el dropdown. Al repetir la prueba con problem_user, la lista desplegable de filtros no funciona en absoluto, impidiendo cambiar el orden de los elementos mostrados en el catálogo.</t>
  </si>
  <si>
    <t>Al navegar con standard_user, hacer clic en el nombre o la imagen de un producto redirige correctamente a su página de detalles correspondiente. Sin embargo, al utilizar la cuenta problem_user, el sistema presenta una inconsistencia de datos: al hacer clic en un artículo, se muestra la página de detalles de un producto completamente distinto al seleccionado.</t>
  </si>
  <si>
    <t>TC-011, TC-010, TC-009, TC-008</t>
  </si>
  <si>
    <t>1. Login con problem_user
2. En catalogo, click en dropdown de filtro
3. Seleccionar culaquier filtro
4. Observar el orden de los productos</t>
  </si>
  <si>
    <t>ESPERADO: Productos ordenadossegun el filtro aplicado
REAL: Productos aparecen en orden incorrecto</t>
  </si>
  <si>
    <t>1. Login con problem_user / secret_sauce
2. Observar el catalogo de productos
3. Revisar imagenes de los productos</t>
  </si>
  <si>
    <t>ESPERADO: Imagenes segun el nombre del producto
REAL: Se muestra la imagen de otro producto (perro) en lugar de las imagenes correspondientes</t>
  </si>
  <si>
    <t>1. Login con problem_user / secret_sauce
2. Intentar hacer clic en 'Add to cart' de algunos productos
3. Observar el badge del carrito</t>
  </si>
  <si>
    <t>BUG-004</t>
  </si>
  <si>
    <t>Redirección incorrecta en el detalle de productos al usar cuenta problem_user.</t>
  </si>
  <si>
    <t>Imagen incorrecta en productos con problem_user</t>
  </si>
  <si>
    <t>Los filtros no funcionan correctamente con problem_user</t>
  </si>
  <si>
    <t>1. Login con problem_user / secret_sauce
2.En la página del catálogo, hacer clic en el nombre (o imagen) de cualquier producto.
3. Observar la página de detalles del producto mostrada.</t>
  </si>
  <si>
    <t>ESPERADO: Se muestran los detalles, precio y descripción correspondientes
REAL: Se muestran los detalles de un producto distinto.</t>
  </si>
  <si>
    <t>Usuario en pagina de login. Usar standar_user</t>
  </si>
  <si>
    <t>Se observa un comportamiento inconsistente según el usuario. Con standard_user, los productos se eliminan correctamente y el contador del carrito disminuye. Al probar con problem_user, el botón 'Remove' no responde a la interacción en ningún producto, impidiendo al usuario gestionar los artículos de su carrito.</t>
  </si>
  <si>
    <t>BUG-005</t>
  </si>
  <si>
    <t>El sistema muestra correctamente la lista de productos agregados previamente, reflejando de forma exacta el nombre, descripción y precio de cada artículo.</t>
  </si>
  <si>
    <t xml:space="preserve">Al hacer clic en el botón 'Remove' directamente desde la vista del carrito, el producto se elimina correctamente de la lista y el badge (contador) se actualiza. </t>
  </si>
  <si>
    <t>Nota de QA: A diferencia del catálogo (ver TC-015 / BUG-006) donde el botón 'Remove' falla con el problem_user, dentro de la vista del carrito la función sí opera correctamente.</t>
  </si>
  <si>
    <t>Al hacer clic en el botón 'Checkout', el sistema redirige correctamente al formulario de información del cliente ('Checkout Step One'), mostrando los campos de First Name, Last Name y Zip/Postal Code.</t>
  </si>
  <si>
    <t>BUG-006</t>
  </si>
  <si>
    <t>Botón 'Remove' no funciona en la pagina de catalogo al usar problem_user.</t>
  </si>
  <si>
    <t>El botón funciona según lo esperado al navegar con standard_user, agregando el producto al carrito. Al realizar la misma acción con la cuenta problem_user, el botón 'Add to cart' de ciertos productos se vuelven inactivos, no responden al clic y el carrito permanece vacío.</t>
  </si>
  <si>
    <t>El botón funciona según lo esperado al navegar con standard_user, agregando los productos al carrito. Al realizar la misma acción con la cuenta problem_user, el botón 'Add to cart' de ciertos productos se vuelven inactivos, no responden al clic y el carrito no aumenta su contador.</t>
  </si>
  <si>
    <t>TC-013, TC-14</t>
  </si>
  <si>
    <t>BUG-007</t>
  </si>
  <si>
    <t>El campo 'Last Name' sobrescribe el valor de 'First Name' bloqueando el Checkout (problem_user)</t>
  </si>
  <si>
    <t>1. Logincon credenciales de problem_user.
2. Agregar un producto y navegar hasta el paso de Checkout ('Checkout: Your Information').
3. Escribir texto en el campo 'First Name'.
4. Hacer clic en el campo 'Last Name' y comenzar a escribir.</t>
  </si>
  <si>
    <t xml:space="preserve">ESPERADO: Cada campo de texto debe capturar y mantener su propia información de forma independiente, permitiendo enviar el formulario completo.                                                                                         REAL: Lo que se teclea en el campo 'Last Name' modifica y reemplaza el texto previamente ingresado en 'First Name'. El campo 'Last Name' nunca retiene la información, haciendo imposible completar el formulario.                                                                                             </t>
  </si>
  <si>
    <t>1. Login con las credenciales de problem_user.
2. En el catálogo (inventory.html), hacer clic en 'Add to cart' en cualquier producto.
3. Una vez que el botón cambie a 'Remove', hacer clic sobre él para intentar eliminar el producto.</t>
  </si>
  <si>
    <t>ESPERADO: El producto debe eliminarse, el botón debe volver a decir 'Add to cart' y el badge del carrito debe actualizarse.
REAL: El botón es inoperante; no realiza ninguna acción y el producto sigue en el carrito.</t>
  </si>
  <si>
    <t>Comportamiento inconsistente. Al ejecutar con standard_user, todos los campos aceptan datos correctamente y se puede continuar. Al ejecutar con problem_user, existe un fallo en la captura de datos: al intentar escribir en el campo 'Last Name', el texto sobrescribe el valor del campo 'First Name'. El campo 'Last Name' permanece vacío, lo que impide avanzar al siguiente paso del checkout.</t>
  </si>
  <si>
    <t>Al hacer clic en 'Continue' con los campos vacíos, el sistema valida correctamente la entrada y muestra el mensaje de error esperado. No permite avanzar al siguiente paso.</t>
  </si>
  <si>
    <t>Usuario en la pagina 'Checkout: Overview' con 1 producto</t>
  </si>
  <si>
    <t>Blocked</t>
  </si>
  <si>
    <t>Prueba parcialmente ejecutada. Al validar con standard_user, el cálculo matemático del subtotal, impuestos y total funciona de manera exacta. Sin embargo, para el problem_user, el caso de prueba se encuentra BLOQUEADO y no pudo ser ejecutado, ya que el defecto reportado en el BUG-006 impide avanzar más allá de la pantalla de información del cliente.</t>
  </si>
  <si>
    <t>Prueba completada con standard_user, logrando confirmar la compra y visualizar el mensaje 'Thank you for your order!'. Para el problem_user, el caso de prueba no puede ser ejecutado y se declara BLOQUEADO, ya que el defecto crítico en el formulario previo (BUG-006) impide alcanzar la pantalla de confirmación.</t>
  </si>
  <si>
    <t>Al probar con standard_user, la cancelación desde el resumen funciona correctamente, regresando al catálogo. Para problem_user, el caso está BLOQUEADO por el BUG-006, ya que es imposible llegar a la pantalla 'Checkout: Overview' para probar este botón de cancelación.</t>
  </si>
  <si>
    <t>La funcionalidad de cancelación opera de manera exitosa. Al hacer clic en el botón 'Cancel' desde la pantalla 'Checkout: Your Information', el sistema interrumpe el flujo y regresa correctamente a la página del carrito, conservando los productos intactos.</t>
  </si>
  <si>
    <t>Funcionalidad de navegación validada correctamente. Al hacer clic en 'Back to products' desde el detalle de cualquier producto, el sistema regresa al catálogo principal manteniendo el estado del carrito intacto.</t>
  </si>
  <si>
    <t>Comportamiento inconsistente. Al ejecutar con standard_user, la opción 'About' redirige correctamente al sitio oficial de Sauce Labs. Sin embargo, al utilizar el problem_user, el enlace falla (genera un error de redirección o no responde), impidiendo salir de la aplicación hacia la página corporativa.</t>
  </si>
  <si>
    <t>BUG-008</t>
  </si>
  <si>
    <t>Enlace 'About' en el menú hamburguesa no funciona al usar problem_user.</t>
  </si>
  <si>
    <t>1. Login con problem_user.
2. Desplegar el menú hamburguesa (esquina superior izquierda).
3. Hacer clic en la opción 'About'.</t>
  </si>
  <si>
    <t>ESPERADO: Redirección exitosa a la página de Sauce Labs.                                                                                                      REAL: El enlace no funciona correctamente.</t>
  </si>
  <si>
    <t>Funcionalidad 'Reset App State' inoperante para todos los usuarios.</t>
  </si>
  <si>
    <t>1. Login con cualquier usuario (ej. standard_user).
2. Agregar al menos un producto al carrito.
3. Desplegar el menú hamburguesa y hacer clic en 'Reset App State'.
4. Cerrar el menú y observar el estado de la página.</t>
  </si>
  <si>
    <t>Bugs Medios</t>
  </si>
  <si>
    <t>ESPERADO: El carrito debe vaciarse (el badge numérico debe desaparecer) y los botones deben volver al estado 'Add to cart'.                                                                               REAL: La acción no tiene ningún efecto en los botones "REMOVE". El carrito si resetea su contador y ellimina los productos previamente seleccionados.</t>
  </si>
  <si>
    <t>Fallo general de funcionalidad. La opción 'Reset App State' no cumple su propósito con ningún usuario evaluado. Al hacer clic en la opción desde el menú, el estado de la aplicación no se reinicia: los botones "REMOVE" no se resetean, sin embargo,los productos si se eliminan en el carrito y el badge numérico se resetea.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</si>
</sst>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x14ac:knownFonts="1">
    <font>
      <sz val="11"/>
      <color theme="1"/>
      <name val="Calibri"/>
      <family val="2"/>
      <charset val="1"/>
    </font>
    <font>
      <b/>
      <sz val="14"/>
      <color rgb="FFFFFFFF"/>
      <name val="Arial"/>
      <charset val="1"/>
    </font>
    <font>
      <sz val="9"/>
      <color rgb="FF2E75B6"/>
      <name val="Arial"/>
      <charset val="1"/>
    </font>
    <font>
      <sz val="9"/>
      <color rgb="FF1F4E79"/>
      <name val="Arial"/>
      <charset val="1"/>
    </font>
    <font>
      <b/>
      <sz val="9"/>
      <color rgb="FFFFFFFF"/>
      <name val="Arial"/>
      <charset val="1"/>
    </font>
    <font>
      <b/>
      <sz val="9"/>
      <color rgb="FF1F4E79"/>
      <name val="Arial"/>
      <charset val="1"/>
    </font>
    <font>
      <b/>
      <sz val="8"/>
      <color rgb="FF1F4E79"/>
      <name val="Arial"/>
      <charset val="1"/>
    </font>
    <font>
      <sz val="9"/>
      <color rgb="FF000000"/>
      <name val="Arial"/>
      <charset val="1"/>
    </font>
    <font>
      <b/>
      <sz val="9"/>
      <color rgb="FF1E7E34"/>
      <name val="Arial"/>
      <charset val="1"/>
    </font>
    <font>
      <b/>
      <sz val="9"/>
      <color rgb="FFC0392B"/>
      <name val="Arial"/>
      <charset val="1"/>
    </font>
    <font>
      <b/>
      <sz val="9"/>
      <color rgb="FF856404"/>
      <name val="Arial"/>
      <charset val="1"/>
    </font>
    <font>
      <i/>
      <sz val="9"/>
      <color rgb="FFC0392B"/>
      <name val="Arial"/>
      <charset val="1"/>
    </font>
    <font>
      <b/>
      <sz val="9"/>
      <color rgb="FF7B3F00"/>
      <name val="Arial"/>
      <charset val="1"/>
    </font>
    <font>
      <b/>
      <sz val="10"/>
      <color rgb="FFFFFFFF"/>
      <name val="Arial"/>
      <charset val="1"/>
    </font>
    <font>
      <sz val="10"/>
      <color rgb="FF000000"/>
      <name val="Arial"/>
      <charset val="1"/>
    </font>
    <font>
      <b/>
      <sz val="12"/>
      <color rgb="FF2E75B6"/>
      <name val="Arial"/>
      <charset val="1"/>
    </font>
    <font>
      <b/>
      <sz val="10"/>
      <color rgb="FF1F4E79"/>
      <name val="Arial"/>
      <charset val="1"/>
    </font>
    <font>
      <b/>
      <sz val="12"/>
      <color rgb="FF1F4E79"/>
      <name val="Arial"/>
      <charset val="1"/>
    </font>
    <font>
      <sz val="9"/>
      <color rgb="FF666666"/>
      <name val="Arial"/>
      <charset val="1"/>
    </font>
    <font>
      <b/>
      <sz val="12"/>
      <color rgb="FF1E7E34"/>
      <name val="Arial"/>
      <charset val="1"/>
    </font>
    <font>
      <b/>
      <sz val="12"/>
      <color rgb="FFC0392B"/>
      <name val="Arial"/>
      <charset val="1"/>
    </font>
    <font>
      <b/>
      <sz val="12"/>
      <color rgb="FF856404"/>
      <name val="Arial"/>
      <charset val="1"/>
    </font>
    <font>
      <b/>
      <sz val="12"/>
      <color rgb="FF555555"/>
      <name val="Arial"/>
      <charset val="1"/>
    </font>
    <font>
      <b/>
      <sz val="12"/>
      <color rgb="FFCC0000"/>
      <name val="Arial"/>
      <charset val="1"/>
    </font>
    <font>
      <b/>
      <sz val="12"/>
      <color rgb="FF7B3F00"/>
      <name val="Arial"/>
      <charset val="1"/>
    </font>
    <font>
      <i/>
      <sz val="8"/>
      <color rgb="FF888888"/>
      <name val="Arial"/>
      <charset val="1"/>
    </font>
    <font>
      <sz val="9"/>
      <color rgb="FF000000"/>
      <name val="Arial"/>
      <family val="2"/>
    </font>
    <font>
      <b/>
      <sz val="9"/>
      <color rgb="FFC0392B"/>
      <name val="Arial"/>
      <family val="2"/>
    </font>
    <font>
      <b/>
      <sz val="9"/>
      <color rgb="FFFFFFFF"/>
      <name val="Arial"/>
      <family val="2"/>
    </font>
    <font>
      <sz val="9"/>
      <color theme="1"/>
      <name val="Arial"/>
      <family val="2"/>
    </font>
    <font>
      <sz val="10"/>
      <color rgb="FF000000"/>
      <name val="Arial"/>
      <family val="2"/>
    </font>
  </fonts>
  <fills count="22">
    <fill>
      <patternFill patternType="none"/>
    </fill>
    <fill>
      <patternFill patternType="gray125"/>
    </fill>
    <fill>
      <patternFill patternType="solid">
        <fgColor rgb="FF1F4E79"/>
        <bgColor rgb="FF003366"/>
      </patternFill>
    </fill>
    <fill>
      <patternFill patternType="solid">
        <fgColor rgb="FFD6E4F0"/>
        <bgColor rgb="FFD0EDED"/>
      </patternFill>
    </fill>
    <fill>
      <patternFill patternType="solid">
        <fgColor rgb="FF2E75B6"/>
        <bgColor rgb="FF0066CC"/>
      </patternFill>
    </fill>
    <fill>
      <patternFill patternType="solid">
        <fgColor rgb="FFEBF3FB"/>
        <bgColor rgb="FFEAF4EA"/>
      </patternFill>
    </fill>
    <fill>
      <patternFill patternType="solid">
        <fgColor rgb="FFFFFFFF"/>
        <bgColor rgb="FFF9FAFB"/>
      </patternFill>
    </fill>
    <fill>
      <patternFill patternType="solid">
        <fgColor rgb="FFD4EDDA"/>
        <bgColor rgb="FFD0EDED"/>
      </patternFill>
    </fill>
    <fill>
      <patternFill patternType="solid">
        <fgColor rgb="FFF8D7DA"/>
        <bgColor rgb="FFFFE0E0"/>
      </patternFill>
    </fill>
    <fill>
      <patternFill patternType="solid">
        <fgColor rgb="FFF9FAFB"/>
        <bgColor rgb="FFFFFFFF"/>
      </patternFill>
    </fill>
    <fill>
      <patternFill patternType="solid">
        <fgColor rgb="FFFFF3CD"/>
        <bgColor rgb="FFFFF8E1"/>
      </patternFill>
    </fill>
    <fill>
      <patternFill patternType="solid">
        <fgColor rgb="FFEAF4EA"/>
        <bgColor rgb="FFE8F5E9"/>
      </patternFill>
    </fill>
    <fill>
      <patternFill patternType="solid">
        <fgColor rgb="FFFFF8E1"/>
        <bgColor rgb="FFFFF3CD"/>
      </patternFill>
    </fill>
    <fill>
      <patternFill patternType="solid">
        <fgColor rgb="FFF3E5F5"/>
        <bgColor rgb="FFFFE0E0"/>
      </patternFill>
    </fill>
    <fill>
      <patternFill patternType="solid">
        <fgColor rgb="FFE0F7FA"/>
        <bgColor rgb="FFEBF3FB"/>
      </patternFill>
    </fill>
    <fill>
      <patternFill patternType="solid">
        <fgColor rgb="FFC0392B"/>
        <bgColor rgb="FF993366"/>
      </patternFill>
    </fill>
    <fill>
      <patternFill patternType="solid">
        <fgColor rgb="FFFFF0F0"/>
        <bgColor rgb="FFFFF8E1"/>
      </patternFill>
    </fill>
    <fill>
      <patternFill patternType="solid">
        <fgColor rgb="FFFFE0B2"/>
        <bgColor rgb="FFFFE0E0"/>
      </patternFill>
    </fill>
    <fill>
      <patternFill patternType="solid">
        <fgColor rgb="FFE8F5E9"/>
        <bgColor rgb="FFEAF4EA"/>
      </patternFill>
    </fill>
    <fill>
      <patternFill patternType="solid">
        <fgColor rgb="FFE8D5F5"/>
        <bgColor rgb="FFF8D7DA"/>
      </patternFill>
    </fill>
    <fill>
      <patternFill patternType="solid">
        <fgColor rgb="FFD0EDED"/>
        <bgColor rgb="FFD4EDDA"/>
      </patternFill>
    </fill>
    <fill>
      <patternFill patternType="solid">
        <fgColor rgb="FFFFE0E0"/>
        <bgColor rgb="FFF8D7DA"/>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62">
    <xf numFmtId="0" fontId="0" fillId="0" borderId="0" xfId="0"/>
    <xf numFmtId="0" fontId="25" fillId="0" borderId="0" xfId="0" applyFont="1" applyAlignment="1">
      <alignment horizontal="center" vertical="center"/>
    </xf>
    <xf numFmtId="0" fontId="13" fillId="4" borderId="0" xfId="0" applyFont="1" applyFill="1" applyAlignment="1">
      <alignment horizontal="center" vertical="center"/>
    </xf>
    <xf numFmtId="0" fontId="3" fillId="3" borderId="0" xfId="0" applyFont="1" applyFill="1" applyAlignment="1">
      <alignment horizontal="right" vertical="center"/>
    </xf>
    <xf numFmtId="0" fontId="3" fillId="3" borderId="0" xfId="0" applyFont="1" applyFill="1" applyAlignment="1">
      <alignment horizontal="left" vertical="center"/>
    </xf>
    <xf numFmtId="0" fontId="2" fillId="3" borderId="0" xfId="0" applyFont="1" applyFill="1" applyAlignment="1">
      <alignment horizontal="left" vertical="center"/>
    </xf>
    <xf numFmtId="0" fontId="1" fillId="2" borderId="0" xfId="0" applyFont="1" applyFill="1" applyAlignment="1">
      <alignment horizontal="center" vertical="center"/>
    </xf>
    <xf numFmtId="0" fontId="4" fillId="4"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5" borderId="1" xfId="0" applyFont="1" applyFill="1" applyBorder="1" applyAlignment="1">
      <alignment horizontal="center" vertical="top" wrapText="1"/>
    </xf>
    <xf numFmtId="0" fontId="7" fillId="6" borderId="1" xfId="0" applyFont="1" applyFill="1" applyBorder="1" applyAlignment="1">
      <alignment horizontal="left" vertical="top" wrapText="1"/>
    </xf>
    <xf numFmtId="0" fontId="8" fillId="7" borderId="1" xfId="0" applyFont="1" applyFill="1" applyBorder="1" applyAlignment="1">
      <alignment horizontal="center" vertical="center"/>
    </xf>
    <xf numFmtId="0" fontId="9" fillId="8" borderId="1" xfId="0" applyFont="1" applyFill="1" applyBorder="1" applyAlignment="1">
      <alignment horizontal="center" vertical="center"/>
    </xf>
    <xf numFmtId="0" fontId="7" fillId="9" borderId="1" xfId="0" applyFont="1" applyFill="1" applyBorder="1" applyAlignment="1">
      <alignment horizontal="left" vertical="top" wrapText="1"/>
    </xf>
    <xf numFmtId="0" fontId="10" fillId="10" borderId="1" xfId="0" applyFont="1" applyFill="1" applyBorder="1" applyAlignment="1">
      <alignment horizontal="center" vertical="center"/>
    </xf>
    <xf numFmtId="0" fontId="6" fillId="11" borderId="1" xfId="0" applyFont="1" applyFill="1" applyBorder="1" applyAlignment="1">
      <alignment horizontal="center" vertical="top" wrapText="1"/>
    </xf>
    <xf numFmtId="0" fontId="6" fillId="12" borderId="1" xfId="0" applyFont="1" applyFill="1" applyBorder="1" applyAlignment="1">
      <alignment horizontal="center" vertical="top" wrapText="1"/>
    </xf>
    <xf numFmtId="0" fontId="6" fillId="13" borderId="1" xfId="0" applyFont="1" applyFill="1" applyBorder="1" applyAlignment="1">
      <alignment horizontal="center" vertical="top" wrapText="1"/>
    </xf>
    <xf numFmtId="0" fontId="6" fillId="14" borderId="1" xfId="0" applyFont="1" applyFill="1" applyBorder="1" applyAlignment="1">
      <alignment horizontal="center" vertical="top" wrapText="1"/>
    </xf>
    <xf numFmtId="0" fontId="14" fillId="6" borderId="1" xfId="0" applyFont="1" applyFill="1" applyBorder="1" applyAlignment="1">
      <alignment horizontal="left" vertical="center"/>
    </xf>
    <xf numFmtId="0" fontId="15" fillId="3" borderId="1" xfId="0" applyFont="1" applyFill="1" applyBorder="1" applyAlignment="1">
      <alignment horizontal="center" vertical="center"/>
    </xf>
    <xf numFmtId="0" fontId="16" fillId="5" borderId="1" xfId="0" applyFont="1" applyFill="1" applyBorder="1" applyAlignment="1">
      <alignment horizontal="left" vertical="center"/>
    </xf>
    <xf numFmtId="0" fontId="17" fillId="5" borderId="1" xfId="0" applyFont="1" applyFill="1" applyBorder="1" applyAlignment="1">
      <alignment horizontal="center" vertical="center"/>
    </xf>
    <xf numFmtId="0" fontId="18" fillId="5" borderId="1" xfId="0" applyFont="1" applyFill="1" applyBorder="1" applyAlignment="1">
      <alignment horizontal="left" vertical="center"/>
    </xf>
    <xf numFmtId="0" fontId="14" fillId="9" borderId="1" xfId="0" applyFont="1" applyFill="1" applyBorder="1" applyAlignment="1">
      <alignment horizontal="left" vertical="center"/>
    </xf>
    <xf numFmtId="0" fontId="19" fillId="7" borderId="1" xfId="0" applyFont="1" applyFill="1" applyBorder="1" applyAlignment="1">
      <alignment horizontal="center" vertical="center"/>
    </xf>
    <xf numFmtId="0" fontId="16" fillId="18" borderId="1" xfId="0" applyFont="1" applyFill="1" applyBorder="1" applyAlignment="1">
      <alignment horizontal="left" vertical="center"/>
    </xf>
    <xf numFmtId="0" fontId="17" fillId="18" borderId="1" xfId="0" applyFont="1" applyFill="1" applyBorder="1" applyAlignment="1">
      <alignment horizontal="center" vertical="center"/>
    </xf>
    <xf numFmtId="0" fontId="18" fillId="18" borderId="1" xfId="0" applyFont="1" applyFill="1" applyBorder="1" applyAlignment="1">
      <alignment horizontal="left" vertical="center"/>
    </xf>
    <xf numFmtId="0" fontId="20" fillId="8" borderId="1" xfId="0" applyFont="1" applyFill="1" applyBorder="1" applyAlignment="1">
      <alignment horizontal="center" vertical="center"/>
    </xf>
    <xf numFmtId="0" fontId="16" fillId="12" borderId="1" xfId="0" applyFont="1" applyFill="1" applyBorder="1" applyAlignment="1">
      <alignment horizontal="left" vertical="center"/>
    </xf>
    <xf numFmtId="0" fontId="17" fillId="12" borderId="1" xfId="0" applyFont="1" applyFill="1" applyBorder="1" applyAlignment="1">
      <alignment horizontal="center" vertical="center"/>
    </xf>
    <xf numFmtId="0" fontId="18" fillId="12" borderId="1" xfId="0" applyFont="1" applyFill="1" applyBorder="1" applyAlignment="1">
      <alignment horizontal="left" vertical="center"/>
    </xf>
    <xf numFmtId="0" fontId="21" fillId="10" borderId="1" xfId="0" applyFont="1" applyFill="1" applyBorder="1" applyAlignment="1">
      <alignment horizontal="center" vertical="center"/>
    </xf>
    <xf numFmtId="0" fontId="16" fillId="19" borderId="1" xfId="0" applyFont="1" applyFill="1" applyBorder="1" applyAlignment="1">
      <alignment horizontal="left" vertical="center"/>
    </xf>
    <xf numFmtId="0" fontId="17" fillId="19" borderId="1" xfId="0" applyFont="1" applyFill="1" applyBorder="1" applyAlignment="1">
      <alignment horizontal="center" vertical="center"/>
    </xf>
    <xf numFmtId="0" fontId="18" fillId="19" borderId="1" xfId="0" applyFont="1" applyFill="1" applyBorder="1" applyAlignment="1">
      <alignment horizontal="left" vertical="center"/>
    </xf>
    <xf numFmtId="0" fontId="22" fillId="9" borderId="1" xfId="0" applyFont="1" applyFill="1" applyBorder="1" applyAlignment="1">
      <alignment horizontal="center" vertical="center"/>
    </xf>
    <xf numFmtId="0" fontId="16" fillId="20" borderId="1" xfId="0" applyFont="1" applyFill="1" applyBorder="1" applyAlignment="1">
      <alignment horizontal="left" vertical="center"/>
    </xf>
    <xf numFmtId="0" fontId="17" fillId="20" borderId="1" xfId="0" applyFont="1" applyFill="1" applyBorder="1" applyAlignment="1">
      <alignment horizontal="center" vertical="center"/>
    </xf>
    <xf numFmtId="0" fontId="18" fillId="20" borderId="1" xfId="0" applyFont="1" applyFill="1" applyBorder="1" applyAlignment="1">
      <alignment horizontal="left" vertical="center"/>
    </xf>
    <xf numFmtId="0" fontId="17" fillId="3" borderId="1" xfId="0" applyFont="1" applyFill="1" applyBorder="1" applyAlignment="1">
      <alignment horizontal="center" vertical="center"/>
    </xf>
    <xf numFmtId="0" fontId="23" fillId="21" borderId="1" xfId="0" applyFont="1" applyFill="1" applyBorder="1" applyAlignment="1">
      <alignment horizontal="center" vertical="center"/>
    </xf>
    <xf numFmtId="0" fontId="24" fillId="17" borderId="1" xfId="0" applyFont="1" applyFill="1" applyBorder="1" applyAlignment="1">
      <alignment horizontal="center" vertical="center"/>
    </xf>
    <xf numFmtId="0" fontId="26" fillId="9" borderId="1" xfId="0" applyFont="1" applyFill="1" applyBorder="1" applyAlignment="1">
      <alignment horizontal="left" vertical="top" wrapText="1"/>
    </xf>
    <xf numFmtId="0" fontId="26" fillId="6" borderId="1" xfId="0" applyFont="1" applyFill="1" applyBorder="1" applyAlignment="1">
      <alignment horizontal="left" vertical="top" wrapText="1"/>
    </xf>
    <xf numFmtId="0" fontId="0" fillId="0" borderId="0" xfId="0" applyAlignment="1">
      <alignment horizontal="left" vertical="top" wrapText="1"/>
    </xf>
    <xf numFmtId="0" fontId="1" fillId="15" borderId="0" xfId="0" applyFont="1" applyFill="1" applyAlignment="1">
      <alignment horizontal="left" vertical="top" wrapText="1"/>
    </xf>
    <xf numFmtId="0" fontId="11" fillId="16" borderId="0" xfId="0" applyFont="1" applyFill="1" applyAlignment="1">
      <alignment horizontal="left" vertical="top" wrapText="1"/>
    </xf>
    <xf numFmtId="0" fontId="4" fillId="15" borderId="1" xfId="0" applyFont="1" applyFill="1" applyBorder="1" applyAlignment="1">
      <alignment horizontal="left" vertical="top" wrapText="1"/>
    </xf>
    <xf numFmtId="0" fontId="9" fillId="16" borderId="1" xfId="0" applyFont="1" applyFill="1" applyBorder="1" applyAlignment="1">
      <alignment horizontal="left" vertical="top" wrapText="1"/>
    </xf>
    <xf numFmtId="0" fontId="12" fillId="17" borderId="1" xfId="0" applyFont="1" applyFill="1" applyBorder="1" applyAlignment="1">
      <alignment horizontal="left" vertical="top" wrapText="1"/>
    </xf>
    <xf numFmtId="0" fontId="9" fillId="8" borderId="1" xfId="0" applyFont="1" applyFill="1" applyBorder="1" applyAlignment="1">
      <alignment horizontal="left" vertical="top" wrapText="1"/>
    </xf>
    <xf numFmtId="0" fontId="10" fillId="10" borderId="1" xfId="0" applyFont="1" applyFill="1" applyBorder="1" applyAlignment="1">
      <alignment horizontal="left" vertical="top" wrapText="1"/>
    </xf>
    <xf numFmtId="0" fontId="27" fillId="16" borderId="1" xfId="0" applyFont="1" applyFill="1" applyBorder="1" applyAlignment="1">
      <alignment horizontal="left" vertical="top" wrapText="1"/>
    </xf>
    <xf numFmtId="0" fontId="0" fillId="9" borderId="1" xfId="0" applyFill="1" applyBorder="1" applyAlignment="1">
      <alignment horizontal="left" vertical="top" wrapText="1"/>
    </xf>
    <xf numFmtId="0" fontId="0" fillId="6" borderId="1" xfId="0" applyFill="1" applyBorder="1" applyAlignment="1">
      <alignment horizontal="left" vertical="top" wrapText="1"/>
    </xf>
    <xf numFmtId="0" fontId="27" fillId="8" borderId="1" xfId="0" applyFont="1" applyFill="1" applyBorder="1" applyAlignment="1">
      <alignment horizontal="left" vertical="top" wrapText="1"/>
    </xf>
    <xf numFmtId="0" fontId="28" fillId="4" borderId="1" xfId="0" applyFont="1" applyFill="1" applyBorder="1" applyAlignment="1">
      <alignment horizontal="center" vertical="center"/>
    </xf>
    <xf numFmtId="0" fontId="29" fillId="0" borderId="0" xfId="0" applyFont="1" applyAlignment="1">
      <alignment horizontal="left" vertical="top" wrapText="1"/>
    </xf>
    <xf numFmtId="0" fontId="29" fillId="0" borderId="0" xfId="0" applyFont="1"/>
    <xf numFmtId="0" fontId="30" fillId="9" borderId="1" xfId="0" applyFont="1" applyFill="1" applyBorder="1" applyAlignment="1">
      <alignment horizontal="left" vertical="center"/>
    </xf>
  </cellXfs>
  <cellStyles count="1">
    <cellStyle name="Normal" xfId="0" builtinId="0"/>
  </cellStyles>
  <dxfs count="0"/>
  <tableStyles count="0" defaultTableStyle="TableStyleMedium2" defaultPivotStyle="PivotStyleLight16"/>
  <colors>
    <indexedColors>
      <rgbColor rgb="FF000000"/>
      <rgbColor rgb="FFFFFFFF"/>
      <rgbColor rgb="FFCC0000"/>
      <rgbColor rgb="FF00FF00"/>
      <rgbColor rgb="FF0000FF"/>
      <rgbColor rgb="FFE8F5E9"/>
      <rgbColor rgb="FFFF00FF"/>
      <rgbColor rgb="FF00FFFF"/>
      <rgbColor rgb="FF800000"/>
      <rgbColor rgb="FF1E7E34"/>
      <rgbColor rgb="FF000080"/>
      <rgbColor rgb="FF856404"/>
      <rgbColor rgb="FF800080"/>
      <rgbColor rgb="FF008080"/>
      <rgbColor rgb="FFCCCCCC"/>
      <rgbColor rgb="FF888888"/>
      <rgbColor rgb="FFF3E5F5"/>
      <rgbColor rgb="FFC0392B"/>
      <rgbColor rgb="FFFFF8E1"/>
      <rgbColor rgb="FFE0F7FA"/>
      <rgbColor rgb="FF660066"/>
      <rgbColor rgb="FFF9FAFB"/>
      <rgbColor rgb="FF0066CC"/>
      <rgbColor rgb="FFE8D5F5"/>
      <rgbColor rgb="FF000080"/>
      <rgbColor rgb="FFFF00FF"/>
      <rgbColor rgb="FFEAF4EA"/>
      <rgbColor rgb="FF00FFFF"/>
      <rgbColor rgb="FF800080"/>
      <rgbColor rgb="FF800000"/>
      <rgbColor rgb="FF008080"/>
      <rgbColor rgb="FF0000FF"/>
      <rgbColor rgb="FF00CCFF"/>
      <rgbColor rgb="FFD0EDED"/>
      <rgbColor rgb="FFD4EDDA"/>
      <rgbColor rgb="FFFFF3CD"/>
      <rgbColor rgb="FFD6E4F0"/>
      <rgbColor rgb="FFF8D7DA"/>
      <rgbColor rgb="FFFFE0E0"/>
      <rgbColor rgb="FFFFE0B2"/>
      <rgbColor rgb="FF2E75B6"/>
      <rgbColor rgb="FF33CCCC"/>
      <rgbColor rgb="FF99CC00"/>
      <rgbColor rgb="FFFFF0F0"/>
      <rgbColor rgb="FFFF9900"/>
      <rgbColor rgb="FFFF6600"/>
      <rgbColor rgb="FF666666"/>
      <rgbColor rgb="FFEBF3FB"/>
      <rgbColor rgb="FF003366"/>
      <rgbColor rgb="FF339966"/>
      <rgbColor rgb="FF003300"/>
      <rgbColor rgb="FF333300"/>
      <rgbColor rgb="FF7B3F00"/>
      <rgbColor rgb="FF993366"/>
      <rgbColor rgb="FF1F4E79"/>
      <rgbColor rgb="FF555555"/>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
  <sheetViews>
    <sheetView showGridLines="0" tabSelected="1" topLeftCell="B1" zoomScaleNormal="100" workbookViewId="0">
      <pane ySplit="3" topLeftCell="A25" activePane="bottomLeft" state="frozen"/>
      <selection pane="bottomLeft" activeCell="G30" sqref="G30"/>
    </sheetView>
  </sheetViews>
  <sheetFormatPr baseColWidth="10" defaultColWidth="8.7109375" defaultRowHeight="15" x14ac:dyDescent="0.25"/>
  <cols>
    <col min="1" max="1" width="9" customWidth="1"/>
    <col min="2" max="2" width="16" customWidth="1"/>
    <col min="3" max="3" width="32" customWidth="1"/>
    <col min="4" max="4" width="28" customWidth="1"/>
    <col min="5" max="5" width="48" customWidth="1"/>
    <col min="6" max="6" width="36" customWidth="1"/>
    <col min="7" max="7" width="36" style="60" customWidth="1"/>
    <col min="8" max="8" width="10" customWidth="1"/>
    <col min="9" max="9" width="14" customWidth="1"/>
    <col min="10" max="10" width="11" customWidth="1"/>
    <col min="11" max="11" width="16" customWidth="1"/>
    <col min="12" max="12" width="22" customWidth="1"/>
  </cols>
  <sheetData>
    <row r="1" spans="1:12" ht="31.5" customHeight="1" x14ac:dyDescent="0.25">
      <c r="A1" s="6" t="s">
        <v>0</v>
      </c>
      <c r="B1" s="6"/>
      <c r="C1" s="6"/>
      <c r="D1" s="6"/>
      <c r="E1" s="6"/>
      <c r="F1" s="6"/>
      <c r="G1" s="6"/>
      <c r="H1" s="6"/>
      <c r="I1" s="6"/>
      <c r="J1" s="6"/>
      <c r="K1" s="6"/>
      <c r="L1" s="6"/>
    </row>
    <row r="2" spans="1:12" ht="19.5" customHeight="1" x14ac:dyDescent="0.25">
      <c r="A2" s="5" t="s">
        <v>1</v>
      </c>
      <c r="B2" s="5"/>
      <c r="C2" s="5"/>
      <c r="D2" s="5"/>
      <c r="E2" s="4" t="s">
        <v>197</v>
      </c>
      <c r="F2" s="4"/>
      <c r="G2" s="4"/>
      <c r="H2" s="4"/>
      <c r="I2" s="3" t="s">
        <v>2</v>
      </c>
      <c r="J2" s="3"/>
      <c r="K2" s="3"/>
      <c r="L2" s="3"/>
    </row>
    <row r="3" spans="1:12" ht="21.75" customHeight="1" x14ac:dyDescent="0.25">
      <c r="A3" s="7" t="s">
        <v>3</v>
      </c>
      <c r="B3" s="7" t="s">
        <v>4</v>
      </c>
      <c r="C3" s="7" t="s">
        <v>5</v>
      </c>
      <c r="D3" s="7" t="s">
        <v>6</v>
      </c>
      <c r="E3" s="7" t="s">
        <v>7</v>
      </c>
      <c r="F3" s="7" t="s">
        <v>8</v>
      </c>
      <c r="G3" s="58" t="s">
        <v>9</v>
      </c>
      <c r="H3" s="7" t="s">
        <v>10</v>
      </c>
      <c r="I3" s="7" t="s">
        <v>11</v>
      </c>
      <c r="J3" s="7" t="s">
        <v>12</v>
      </c>
      <c r="K3" s="7" t="s">
        <v>13</v>
      </c>
      <c r="L3" s="7" t="s">
        <v>14</v>
      </c>
    </row>
    <row r="4" spans="1:12" ht="69.75" customHeight="1" x14ac:dyDescent="0.25">
      <c r="A4" s="8" t="s">
        <v>15</v>
      </c>
      <c r="B4" s="9" t="s">
        <v>16</v>
      </c>
      <c r="C4" s="10" t="s">
        <v>17</v>
      </c>
      <c r="D4" s="10" t="s">
        <v>18</v>
      </c>
      <c r="E4" s="10" t="s">
        <v>19</v>
      </c>
      <c r="F4" s="10" t="s">
        <v>20</v>
      </c>
      <c r="G4" s="45" t="s">
        <v>199</v>
      </c>
      <c r="H4" s="11" t="s">
        <v>21</v>
      </c>
      <c r="I4" s="10"/>
      <c r="J4" s="12"/>
      <c r="K4" s="44" t="s">
        <v>198</v>
      </c>
      <c r="L4" s="10" t="s">
        <v>23</v>
      </c>
    </row>
    <row r="5" spans="1:12" ht="69.75" customHeight="1" x14ac:dyDescent="0.25">
      <c r="A5" s="8" t="s">
        <v>24</v>
      </c>
      <c r="B5" s="9" t="s">
        <v>16</v>
      </c>
      <c r="C5" s="13" t="s">
        <v>25</v>
      </c>
      <c r="D5" s="13" t="s">
        <v>26</v>
      </c>
      <c r="E5" s="13" t="s">
        <v>27</v>
      </c>
      <c r="F5" s="13" t="s">
        <v>28</v>
      </c>
      <c r="G5" s="44" t="s">
        <v>200</v>
      </c>
      <c r="H5" s="11" t="s">
        <v>21</v>
      </c>
      <c r="I5" s="13"/>
      <c r="J5" s="12"/>
      <c r="K5" s="44" t="s">
        <v>198</v>
      </c>
      <c r="L5" s="44" t="s">
        <v>29</v>
      </c>
    </row>
    <row r="6" spans="1:12" ht="69.75" customHeight="1" x14ac:dyDescent="0.25">
      <c r="A6" s="8" t="s">
        <v>30</v>
      </c>
      <c r="B6" s="9" t="s">
        <v>16</v>
      </c>
      <c r="C6" s="10" t="s">
        <v>31</v>
      </c>
      <c r="D6" s="10" t="s">
        <v>26</v>
      </c>
      <c r="E6" s="10" t="s">
        <v>32</v>
      </c>
      <c r="F6" s="10" t="s">
        <v>33</v>
      </c>
      <c r="G6" s="45" t="s">
        <v>200</v>
      </c>
      <c r="H6" s="11" t="s">
        <v>21</v>
      </c>
      <c r="I6" s="10"/>
      <c r="J6" s="12"/>
      <c r="K6" s="10"/>
      <c r="L6" s="10" t="s">
        <v>34</v>
      </c>
    </row>
    <row r="7" spans="1:12" ht="69.75" customHeight="1" x14ac:dyDescent="0.25">
      <c r="A7" s="8" t="s">
        <v>35</v>
      </c>
      <c r="B7" s="9" t="s">
        <v>16</v>
      </c>
      <c r="C7" s="13" t="s">
        <v>36</v>
      </c>
      <c r="D7" s="13" t="s">
        <v>26</v>
      </c>
      <c r="E7" s="13" t="s">
        <v>37</v>
      </c>
      <c r="F7" s="13" t="s">
        <v>38</v>
      </c>
      <c r="G7" s="44" t="s">
        <v>200</v>
      </c>
      <c r="H7" s="11" t="s">
        <v>21</v>
      </c>
      <c r="I7" s="13"/>
      <c r="J7" s="12"/>
      <c r="K7" s="13"/>
      <c r="L7" s="13" t="s">
        <v>39</v>
      </c>
    </row>
    <row r="8" spans="1:12" ht="69.75" customHeight="1" x14ac:dyDescent="0.25">
      <c r="A8" s="8" t="s">
        <v>40</v>
      </c>
      <c r="B8" s="9" t="s">
        <v>16</v>
      </c>
      <c r="C8" s="10" t="s">
        <v>41</v>
      </c>
      <c r="D8" s="10" t="s">
        <v>42</v>
      </c>
      <c r="E8" s="10" t="s">
        <v>43</v>
      </c>
      <c r="F8" s="10" t="s">
        <v>44</v>
      </c>
      <c r="G8" s="45" t="s">
        <v>201</v>
      </c>
      <c r="H8" s="11" t="s">
        <v>21</v>
      </c>
      <c r="I8" s="10"/>
      <c r="J8" s="12"/>
      <c r="K8" s="10"/>
      <c r="L8" s="10" t="s">
        <v>45</v>
      </c>
    </row>
    <row r="9" spans="1:12" ht="69.75" customHeight="1" x14ac:dyDescent="0.25">
      <c r="A9" s="8" t="s">
        <v>46</v>
      </c>
      <c r="B9" s="9" t="s">
        <v>16</v>
      </c>
      <c r="C9" s="13" t="s">
        <v>47</v>
      </c>
      <c r="D9" s="13" t="s">
        <v>48</v>
      </c>
      <c r="E9" s="44" t="s">
        <v>49</v>
      </c>
      <c r="F9" s="13" t="s">
        <v>50</v>
      </c>
      <c r="G9" s="44" t="s">
        <v>202</v>
      </c>
      <c r="H9" s="11" t="s">
        <v>21</v>
      </c>
      <c r="I9" s="13"/>
      <c r="J9" s="14"/>
      <c r="K9" s="13"/>
      <c r="L9" s="13" t="s">
        <v>52</v>
      </c>
    </row>
    <row r="10" spans="1:12" ht="69.75" customHeight="1" x14ac:dyDescent="0.25">
      <c r="A10" s="8" t="s">
        <v>53</v>
      </c>
      <c r="B10" s="15" t="s">
        <v>54</v>
      </c>
      <c r="C10" s="10" t="s">
        <v>55</v>
      </c>
      <c r="D10" s="45" t="s">
        <v>219</v>
      </c>
      <c r="E10" s="10" t="s">
        <v>56</v>
      </c>
      <c r="F10" s="10" t="s">
        <v>57</v>
      </c>
      <c r="G10" s="45" t="s">
        <v>203</v>
      </c>
      <c r="H10" s="11" t="s">
        <v>204</v>
      </c>
      <c r="I10" s="10" t="s">
        <v>175</v>
      </c>
      <c r="J10" s="12" t="s">
        <v>51</v>
      </c>
      <c r="K10" s="10"/>
      <c r="L10" s="10" t="s">
        <v>58</v>
      </c>
    </row>
    <row r="11" spans="1:12" ht="69.75" customHeight="1" x14ac:dyDescent="0.25">
      <c r="A11" s="8" t="s">
        <v>59</v>
      </c>
      <c r="B11" s="15" t="s">
        <v>54</v>
      </c>
      <c r="C11" s="13" t="s">
        <v>60</v>
      </c>
      <c r="D11" s="13" t="s">
        <v>61</v>
      </c>
      <c r="E11" s="13" t="s">
        <v>62</v>
      </c>
      <c r="F11" s="13" t="s">
        <v>63</v>
      </c>
      <c r="G11" s="45" t="s">
        <v>205</v>
      </c>
      <c r="H11" s="11" t="s">
        <v>204</v>
      </c>
      <c r="I11" s="13" t="s">
        <v>170</v>
      </c>
      <c r="J11" s="12" t="s">
        <v>22</v>
      </c>
      <c r="K11" s="13"/>
      <c r="L11" s="13" t="s">
        <v>64</v>
      </c>
    </row>
    <row r="12" spans="1:12" ht="69.75" customHeight="1" x14ac:dyDescent="0.25">
      <c r="A12" s="8" t="s">
        <v>65</v>
      </c>
      <c r="B12" s="15" t="s">
        <v>54</v>
      </c>
      <c r="C12" s="10" t="s">
        <v>66</v>
      </c>
      <c r="D12" s="10" t="s">
        <v>61</v>
      </c>
      <c r="E12" s="10" t="s">
        <v>67</v>
      </c>
      <c r="F12" s="10" t="s">
        <v>68</v>
      </c>
      <c r="G12" s="45" t="s">
        <v>205</v>
      </c>
      <c r="H12" s="11" t="s">
        <v>204</v>
      </c>
      <c r="I12" s="10" t="s">
        <v>170</v>
      </c>
      <c r="J12" s="12" t="s">
        <v>22</v>
      </c>
      <c r="K12" s="10"/>
      <c r="L12" s="10"/>
    </row>
    <row r="13" spans="1:12" ht="69.75" customHeight="1" x14ac:dyDescent="0.25">
      <c r="A13" s="8" t="s">
        <v>69</v>
      </c>
      <c r="B13" s="15" t="s">
        <v>54</v>
      </c>
      <c r="C13" s="13" t="s">
        <v>70</v>
      </c>
      <c r="D13" s="13" t="s">
        <v>61</v>
      </c>
      <c r="E13" s="13" t="s">
        <v>71</v>
      </c>
      <c r="F13" s="13" t="s">
        <v>72</v>
      </c>
      <c r="G13" s="45" t="s">
        <v>205</v>
      </c>
      <c r="H13" s="11" t="s">
        <v>204</v>
      </c>
      <c r="I13" s="13" t="s">
        <v>170</v>
      </c>
      <c r="J13" s="14" t="s">
        <v>22</v>
      </c>
      <c r="K13" s="13"/>
      <c r="L13" s="13"/>
    </row>
    <row r="14" spans="1:12" ht="69.75" customHeight="1" x14ac:dyDescent="0.25">
      <c r="A14" s="8" t="s">
        <v>73</v>
      </c>
      <c r="B14" s="15" t="s">
        <v>54</v>
      </c>
      <c r="C14" s="10" t="s">
        <v>74</v>
      </c>
      <c r="D14" s="10" t="s">
        <v>61</v>
      </c>
      <c r="E14" s="10" t="s">
        <v>75</v>
      </c>
      <c r="F14" s="10" t="s">
        <v>76</v>
      </c>
      <c r="G14" s="45" t="s">
        <v>205</v>
      </c>
      <c r="H14" s="11" t="s">
        <v>204</v>
      </c>
      <c r="I14" s="10" t="s">
        <v>170</v>
      </c>
      <c r="J14" s="14" t="s">
        <v>22</v>
      </c>
      <c r="K14" s="10"/>
      <c r="L14" s="10"/>
    </row>
    <row r="15" spans="1:12" ht="69.75" customHeight="1" x14ac:dyDescent="0.25">
      <c r="A15" s="8" t="s">
        <v>77</v>
      </c>
      <c r="B15" s="15" t="s">
        <v>54</v>
      </c>
      <c r="C15" s="13" t="s">
        <v>78</v>
      </c>
      <c r="D15" s="13" t="s">
        <v>61</v>
      </c>
      <c r="E15" s="13" t="s">
        <v>79</v>
      </c>
      <c r="F15" s="13" t="s">
        <v>80</v>
      </c>
      <c r="G15" s="44" t="s">
        <v>206</v>
      </c>
      <c r="H15" s="11" t="s">
        <v>204</v>
      </c>
      <c r="I15" s="13" t="s">
        <v>180</v>
      </c>
      <c r="J15" s="12" t="s">
        <v>22</v>
      </c>
      <c r="K15" s="13"/>
      <c r="L15" s="13" t="s">
        <v>81</v>
      </c>
    </row>
    <row r="16" spans="1:12" ht="69.75" customHeight="1" x14ac:dyDescent="0.25">
      <c r="A16" s="8" t="s">
        <v>82</v>
      </c>
      <c r="B16" s="16" t="s">
        <v>83</v>
      </c>
      <c r="C16" s="10" t="s">
        <v>84</v>
      </c>
      <c r="D16" s="10" t="s">
        <v>61</v>
      </c>
      <c r="E16" s="10" t="s">
        <v>85</v>
      </c>
      <c r="F16" s="10" t="s">
        <v>86</v>
      </c>
      <c r="G16" s="45" t="s">
        <v>228</v>
      </c>
      <c r="H16" s="11" t="s">
        <v>204</v>
      </c>
      <c r="I16" s="10" t="s">
        <v>180</v>
      </c>
      <c r="J16" s="12" t="s">
        <v>22</v>
      </c>
      <c r="K16" s="10"/>
      <c r="L16" s="10"/>
    </row>
    <row r="17" spans="1:12" ht="69.75" customHeight="1" x14ac:dyDescent="0.25">
      <c r="A17" s="8" t="s">
        <v>87</v>
      </c>
      <c r="B17" s="16" t="s">
        <v>83</v>
      </c>
      <c r="C17" s="13" t="s">
        <v>88</v>
      </c>
      <c r="D17" s="13" t="s">
        <v>61</v>
      </c>
      <c r="E17" s="13" t="s">
        <v>89</v>
      </c>
      <c r="F17" s="13" t="s">
        <v>90</v>
      </c>
      <c r="G17" s="45" t="s">
        <v>229</v>
      </c>
      <c r="H17" s="11" t="s">
        <v>204</v>
      </c>
      <c r="I17" s="13" t="s">
        <v>180</v>
      </c>
      <c r="J17" s="12" t="s">
        <v>22</v>
      </c>
      <c r="K17" s="13"/>
      <c r="L17" s="13"/>
    </row>
    <row r="18" spans="1:12" ht="69.75" customHeight="1" x14ac:dyDescent="0.25">
      <c r="A18" s="8" t="s">
        <v>91</v>
      </c>
      <c r="B18" s="16" t="s">
        <v>83</v>
      </c>
      <c r="C18" s="10" t="s">
        <v>92</v>
      </c>
      <c r="D18" s="10" t="s">
        <v>93</v>
      </c>
      <c r="E18" s="10" t="s">
        <v>94</v>
      </c>
      <c r="F18" s="10" t="s">
        <v>95</v>
      </c>
      <c r="G18" s="45" t="s">
        <v>220</v>
      </c>
      <c r="H18" s="11" t="s">
        <v>204</v>
      </c>
      <c r="I18" s="10" t="s">
        <v>180</v>
      </c>
      <c r="J18" s="12" t="s">
        <v>22</v>
      </c>
      <c r="K18" s="10"/>
      <c r="L18" s="10"/>
    </row>
    <row r="19" spans="1:12" ht="69.75" customHeight="1" x14ac:dyDescent="0.25">
      <c r="A19" s="8" t="s">
        <v>96</v>
      </c>
      <c r="B19" s="16" t="s">
        <v>83</v>
      </c>
      <c r="C19" s="13" t="s">
        <v>97</v>
      </c>
      <c r="D19" s="13" t="s">
        <v>93</v>
      </c>
      <c r="E19" s="13" t="s">
        <v>98</v>
      </c>
      <c r="F19" s="13" t="s">
        <v>99</v>
      </c>
      <c r="G19" s="59" t="s">
        <v>222</v>
      </c>
      <c r="H19" s="11" t="s">
        <v>21</v>
      </c>
      <c r="I19" s="13"/>
      <c r="J19" s="12"/>
      <c r="K19" s="13"/>
      <c r="L19" s="46"/>
    </row>
    <row r="20" spans="1:12" ht="69.75" customHeight="1" x14ac:dyDescent="0.25">
      <c r="A20" s="8" t="s">
        <v>100</v>
      </c>
      <c r="B20" s="16" t="s">
        <v>83</v>
      </c>
      <c r="C20" s="10" t="s">
        <v>101</v>
      </c>
      <c r="D20" s="10" t="s">
        <v>102</v>
      </c>
      <c r="E20" s="10" t="s">
        <v>103</v>
      </c>
      <c r="F20" s="10" t="s">
        <v>104</v>
      </c>
      <c r="G20" s="59" t="s">
        <v>223</v>
      </c>
      <c r="H20" s="11" t="s">
        <v>21</v>
      </c>
      <c r="I20" s="10"/>
      <c r="J20" s="12"/>
      <c r="K20" s="10"/>
      <c r="L20" s="46" t="s">
        <v>224</v>
      </c>
    </row>
    <row r="21" spans="1:12" ht="69.75" customHeight="1" x14ac:dyDescent="0.25">
      <c r="A21" s="8" t="s">
        <v>105</v>
      </c>
      <c r="B21" s="17" t="s">
        <v>106</v>
      </c>
      <c r="C21" s="13" t="s">
        <v>107</v>
      </c>
      <c r="D21" s="13" t="s">
        <v>108</v>
      </c>
      <c r="E21" s="13" t="s">
        <v>109</v>
      </c>
      <c r="F21" s="13" t="s">
        <v>110</v>
      </c>
      <c r="G21" s="59" t="s">
        <v>225</v>
      </c>
      <c r="H21" s="11" t="s">
        <v>21</v>
      </c>
      <c r="I21" s="13"/>
      <c r="J21" s="12"/>
      <c r="K21" s="13"/>
      <c r="L21" s="13"/>
    </row>
    <row r="22" spans="1:12" ht="69.75" customHeight="1" x14ac:dyDescent="0.25">
      <c r="A22" s="8" t="s">
        <v>111</v>
      </c>
      <c r="B22" s="17" t="s">
        <v>106</v>
      </c>
      <c r="C22" s="10" t="s">
        <v>112</v>
      </c>
      <c r="D22" s="10" t="s">
        <v>113</v>
      </c>
      <c r="E22" s="10" t="s">
        <v>114</v>
      </c>
      <c r="F22" s="10" t="s">
        <v>115</v>
      </c>
      <c r="G22" s="59" t="s">
        <v>237</v>
      </c>
      <c r="H22" s="11" t="s">
        <v>204</v>
      </c>
      <c r="I22" s="10" t="s">
        <v>180</v>
      </c>
      <c r="J22" s="12" t="s">
        <v>22</v>
      </c>
      <c r="K22" s="10"/>
      <c r="L22" s="10"/>
    </row>
    <row r="23" spans="1:12" ht="69.75" customHeight="1" x14ac:dyDescent="0.25">
      <c r="A23" s="8" t="s">
        <v>116</v>
      </c>
      <c r="B23" s="17" t="s">
        <v>106</v>
      </c>
      <c r="C23" s="13" t="s">
        <v>117</v>
      </c>
      <c r="D23" s="13" t="s">
        <v>113</v>
      </c>
      <c r="E23" s="13" t="s">
        <v>118</v>
      </c>
      <c r="F23" s="13" t="s">
        <v>119</v>
      </c>
      <c r="G23" s="44" t="s">
        <v>238</v>
      </c>
      <c r="H23" s="11" t="s">
        <v>21</v>
      </c>
      <c r="I23" s="13"/>
      <c r="J23" s="12"/>
      <c r="K23" s="13"/>
      <c r="L23" s="13" t="s">
        <v>120</v>
      </c>
    </row>
    <row r="24" spans="1:12" ht="69.75" customHeight="1" x14ac:dyDescent="0.25">
      <c r="A24" s="8" t="s">
        <v>121</v>
      </c>
      <c r="B24" s="17" t="s">
        <v>106</v>
      </c>
      <c r="C24" s="10" t="s">
        <v>122</v>
      </c>
      <c r="D24" s="45" t="s">
        <v>239</v>
      </c>
      <c r="E24" s="10" t="s">
        <v>123</v>
      </c>
      <c r="F24" s="10" t="s">
        <v>124</v>
      </c>
      <c r="G24" s="45" t="s">
        <v>241</v>
      </c>
      <c r="H24" s="11" t="s">
        <v>240</v>
      </c>
      <c r="I24" s="10"/>
      <c r="J24" s="12"/>
      <c r="K24" s="10"/>
      <c r="L24" s="10" t="s">
        <v>125</v>
      </c>
    </row>
    <row r="25" spans="1:12" ht="69.75" customHeight="1" x14ac:dyDescent="0.25">
      <c r="A25" s="8" t="s">
        <v>126</v>
      </c>
      <c r="B25" s="17" t="s">
        <v>106</v>
      </c>
      <c r="C25" s="13" t="s">
        <v>127</v>
      </c>
      <c r="D25" s="13" t="s">
        <v>128</v>
      </c>
      <c r="E25" s="13" t="s">
        <v>129</v>
      </c>
      <c r="F25" s="13" t="s">
        <v>130</v>
      </c>
      <c r="G25" s="44" t="s">
        <v>242</v>
      </c>
      <c r="H25" s="11" t="s">
        <v>240</v>
      </c>
      <c r="I25" s="13"/>
      <c r="J25" s="12"/>
      <c r="K25" s="13"/>
      <c r="L25" s="13" t="s">
        <v>131</v>
      </c>
    </row>
    <row r="26" spans="1:12" ht="69.75" customHeight="1" x14ac:dyDescent="0.25">
      <c r="A26" s="8" t="s">
        <v>132</v>
      </c>
      <c r="B26" s="17" t="s">
        <v>106</v>
      </c>
      <c r="C26" s="10" t="s">
        <v>133</v>
      </c>
      <c r="D26" s="10" t="s">
        <v>113</v>
      </c>
      <c r="E26" s="10" t="s">
        <v>134</v>
      </c>
      <c r="F26" s="10" t="s">
        <v>135</v>
      </c>
      <c r="G26" s="45" t="s">
        <v>244</v>
      </c>
      <c r="H26" s="11" t="s">
        <v>21</v>
      </c>
      <c r="I26" s="10"/>
      <c r="J26" s="14"/>
      <c r="K26" s="10"/>
      <c r="L26" s="10"/>
    </row>
    <row r="27" spans="1:12" ht="69.75" customHeight="1" x14ac:dyDescent="0.25">
      <c r="A27" s="8" t="s">
        <v>136</v>
      </c>
      <c r="B27" s="17" t="s">
        <v>106</v>
      </c>
      <c r="C27" s="13" t="s">
        <v>137</v>
      </c>
      <c r="D27" s="13" t="s">
        <v>128</v>
      </c>
      <c r="E27" s="13" t="s">
        <v>134</v>
      </c>
      <c r="F27" s="13" t="s">
        <v>138</v>
      </c>
      <c r="G27" s="44" t="s">
        <v>243</v>
      </c>
      <c r="H27" s="11" t="s">
        <v>240</v>
      </c>
      <c r="I27" s="13"/>
      <c r="J27" s="14"/>
      <c r="K27" s="13"/>
      <c r="L27" s="13"/>
    </row>
    <row r="28" spans="1:12" ht="69.75" customHeight="1" x14ac:dyDescent="0.25">
      <c r="A28" s="8" t="s">
        <v>139</v>
      </c>
      <c r="B28" s="18" t="s">
        <v>140</v>
      </c>
      <c r="C28" s="10" t="s">
        <v>141</v>
      </c>
      <c r="D28" s="10" t="s">
        <v>142</v>
      </c>
      <c r="E28" s="10" t="s">
        <v>143</v>
      </c>
      <c r="F28" s="10" t="s">
        <v>144</v>
      </c>
      <c r="G28" s="45" t="s">
        <v>245</v>
      </c>
      <c r="H28" s="11" t="s">
        <v>21</v>
      </c>
      <c r="I28" s="10"/>
      <c r="J28" s="14"/>
      <c r="K28" s="10"/>
      <c r="L28" s="10"/>
    </row>
    <row r="29" spans="1:12" ht="69.75" customHeight="1" x14ac:dyDescent="0.25">
      <c r="A29" s="8" t="s">
        <v>145</v>
      </c>
      <c r="B29" s="18" t="s">
        <v>140</v>
      </c>
      <c r="C29" s="13" t="s">
        <v>146</v>
      </c>
      <c r="D29" s="13" t="s">
        <v>147</v>
      </c>
      <c r="E29" s="13" t="s">
        <v>148</v>
      </c>
      <c r="F29" s="13" t="s">
        <v>149</v>
      </c>
      <c r="G29" s="44" t="s">
        <v>246</v>
      </c>
      <c r="H29" s="11" t="s">
        <v>204</v>
      </c>
      <c r="I29" s="13" t="s">
        <v>175</v>
      </c>
      <c r="J29" s="11" t="s">
        <v>150</v>
      </c>
      <c r="K29" s="13"/>
      <c r="L29" s="13"/>
    </row>
    <row r="30" spans="1:12" ht="69.75" customHeight="1" x14ac:dyDescent="0.25">
      <c r="A30" s="8" t="s">
        <v>151</v>
      </c>
      <c r="B30" s="18" t="s">
        <v>140</v>
      </c>
      <c r="C30" s="10" t="s">
        <v>152</v>
      </c>
      <c r="D30" s="10" t="s">
        <v>153</v>
      </c>
      <c r="E30" s="10" t="s">
        <v>154</v>
      </c>
      <c r="F30" s="10" t="s">
        <v>155</v>
      </c>
      <c r="G30" s="45" t="s">
        <v>255</v>
      </c>
      <c r="H30" s="11" t="s">
        <v>204</v>
      </c>
      <c r="I30" s="10" t="s">
        <v>170</v>
      </c>
      <c r="J30" s="14" t="s">
        <v>51</v>
      </c>
      <c r="K30" s="10"/>
      <c r="L30" s="10"/>
    </row>
  </sheetData>
  <mergeCells count="4">
    <mergeCell ref="A1:L1"/>
    <mergeCell ref="A2:D2"/>
    <mergeCell ref="E2:H2"/>
    <mergeCell ref="I2:L2"/>
  </mergeCells>
  <dataValidations count="3">
    <dataValidation type="list" allowBlank="1" sqref="H4:H30" xr:uid="{00000000-0002-0000-0000-000000000000}">
      <formula1>"Pass,Fail,Blocked,Pending,N/A"</formula1>
      <formula2>0</formula2>
    </dataValidation>
    <dataValidation type="list" allowBlank="1" sqref="I4:I30" xr:uid="{00000000-0002-0000-0000-000001000000}">
      <formula1>"Critical,Major,Minor,Trivial"</formula1>
      <formula2>0</formula2>
    </dataValidation>
    <dataValidation type="list" allowBlank="1" sqref="J4:J30" xr:uid="{00000000-0002-0000-0000-000002000000}">
      <formula1>"Alta,Media,Baja"</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9"/>
  <sheetViews>
    <sheetView showGridLines="0" topLeftCell="A4" zoomScaleNormal="100" workbookViewId="0">
      <selection activeCell="F11" sqref="F11"/>
    </sheetView>
  </sheetViews>
  <sheetFormatPr baseColWidth="10" defaultColWidth="8.7109375" defaultRowHeight="15" x14ac:dyDescent="0.25"/>
  <cols>
    <col min="1" max="1" width="10" style="46" customWidth="1"/>
    <col min="2" max="2" width="38" style="46" customWidth="1"/>
    <col min="3" max="3" width="13" style="46" customWidth="1"/>
    <col min="4" max="4" width="18" style="46" customWidth="1"/>
    <col min="5" max="6" width="50" style="46" customWidth="1"/>
    <col min="7" max="8" width="12" style="46" customWidth="1"/>
    <col min="9" max="9" width="13" style="46" customWidth="1"/>
    <col min="10" max="10" width="16" style="46" customWidth="1"/>
    <col min="11" max="11" width="12" style="46" customWidth="1"/>
    <col min="12" max="12" width="28" style="46" customWidth="1"/>
    <col min="13" max="16384" width="8.7109375" style="46"/>
  </cols>
  <sheetData>
    <row r="1" spans="1:12" ht="31.5" customHeight="1" x14ac:dyDescent="0.25">
      <c r="A1" s="47" t="s">
        <v>156</v>
      </c>
      <c r="B1" s="47"/>
      <c r="C1" s="47"/>
      <c r="D1" s="47"/>
      <c r="E1" s="47"/>
      <c r="F1" s="47"/>
      <c r="G1" s="47"/>
    </row>
    <row r="2" spans="1:12" ht="18" customHeight="1" x14ac:dyDescent="0.25">
      <c r="A2" s="48" t="s">
        <v>157</v>
      </c>
      <c r="B2" s="48"/>
      <c r="C2" s="48"/>
      <c r="D2" s="48"/>
      <c r="E2" s="48"/>
      <c r="F2" s="48"/>
      <c r="G2" s="48"/>
    </row>
    <row r="3" spans="1:12" ht="21.75" customHeight="1" x14ac:dyDescent="0.25">
      <c r="A3" s="49" t="s">
        <v>158</v>
      </c>
      <c r="B3" s="49" t="s">
        <v>159</v>
      </c>
      <c r="C3" s="49" t="s">
        <v>160</v>
      </c>
      <c r="D3" s="49" t="s">
        <v>161</v>
      </c>
      <c r="E3" s="49" t="s">
        <v>162</v>
      </c>
      <c r="F3" s="49" t="s">
        <v>163</v>
      </c>
      <c r="G3" s="49" t="s">
        <v>164</v>
      </c>
      <c r="H3" s="49" t="s">
        <v>12</v>
      </c>
      <c r="I3" s="49" t="s">
        <v>10</v>
      </c>
      <c r="J3" s="49" t="s">
        <v>165</v>
      </c>
      <c r="K3" s="49" t="s">
        <v>166</v>
      </c>
      <c r="L3" s="49" t="s">
        <v>167</v>
      </c>
    </row>
    <row r="4" spans="1:12" ht="75" customHeight="1" x14ac:dyDescent="0.25">
      <c r="A4" s="50" t="s">
        <v>168</v>
      </c>
      <c r="B4" s="45" t="s">
        <v>216</v>
      </c>
      <c r="C4" s="45" t="s">
        <v>207</v>
      </c>
      <c r="D4" s="10" t="s">
        <v>169</v>
      </c>
      <c r="E4" s="45" t="s">
        <v>208</v>
      </c>
      <c r="F4" s="45" t="s">
        <v>209</v>
      </c>
      <c r="G4" s="51" t="s">
        <v>170</v>
      </c>
      <c r="H4" s="52" t="s">
        <v>22</v>
      </c>
      <c r="I4" s="53" t="s">
        <v>171</v>
      </c>
      <c r="J4" s="10" t="s">
        <v>198</v>
      </c>
      <c r="K4" s="10" t="s">
        <v>172</v>
      </c>
      <c r="L4" s="45" t="s">
        <v>173</v>
      </c>
    </row>
    <row r="5" spans="1:12" ht="75" customHeight="1" x14ac:dyDescent="0.25">
      <c r="A5" s="50" t="s">
        <v>174</v>
      </c>
      <c r="B5" s="44" t="s">
        <v>215</v>
      </c>
      <c r="C5" s="13" t="s">
        <v>53</v>
      </c>
      <c r="D5" s="13" t="s">
        <v>169</v>
      </c>
      <c r="E5" s="44" t="s">
        <v>210</v>
      </c>
      <c r="F5" s="44" t="s">
        <v>211</v>
      </c>
      <c r="G5" s="53" t="s">
        <v>175</v>
      </c>
      <c r="H5" s="53" t="s">
        <v>51</v>
      </c>
      <c r="I5" s="53" t="s">
        <v>171</v>
      </c>
      <c r="J5" s="13" t="s">
        <v>198</v>
      </c>
      <c r="K5" s="13" t="s">
        <v>172</v>
      </c>
      <c r="L5" s="13" t="s">
        <v>176</v>
      </c>
    </row>
    <row r="6" spans="1:12" ht="75" customHeight="1" x14ac:dyDescent="0.25">
      <c r="A6" s="50" t="s">
        <v>177</v>
      </c>
      <c r="B6" s="45" t="s">
        <v>178</v>
      </c>
      <c r="C6" s="45" t="s">
        <v>230</v>
      </c>
      <c r="D6" s="10" t="s">
        <v>169</v>
      </c>
      <c r="E6" s="45" t="s">
        <v>212</v>
      </c>
      <c r="F6" s="10" t="s">
        <v>179</v>
      </c>
      <c r="G6" s="52" t="s">
        <v>180</v>
      </c>
      <c r="H6" s="52" t="s">
        <v>22</v>
      </c>
      <c r="I6" s="53" t="s">
        <v>171</v>
      </c>
      <c r="J6" s="10" t="s">
        <v>198</v>
      </c>
      <c r="K6" s="10" t="s">
        <v>172</v>
      </c>
      <c r="L6" s="10" t="s">
        <v>181</v>
      </c>
    </row>
    <row r="7" spans="1:12" ht="60" customHeight="1" x14ac:dyDescent="0.25">
      <c r="A7" s="54" t="s">
        <v>213</v>
      </c>
      <c r="B7" s="45" t="s">
        <v>214</v>
      </c>
      <c r="C7" s="45" t="s">
        <v>77</v>
      </c>
      <c r="D7" s="10" t="s">
        <v>169</v>
      </c>
      <c r="E7" s="45" t="s">
        <v>217</v>
      </c>
      <c r="F7" s="45" t="s">
        <v>218</v>
      </c>
      <c r="G7" s="52" t="s">
        <v>180</v>
      </c>
      <c r="H7" s="52" t="s">
        <v>22</v>
      </c>
      <c r="I7" s="53" t="s">
        <v>171</v>
      </c>
      <c r="J7" s="10" t="s">
        <v>198</v>
      </c>
      <c r="K7" s="10" t="s">
        <v>172</v>
      </c>
      <c r="L7" s="55"/>
    </row>
    <row r="8" spans="1:12" ht="60" customHeight="1" x14ac:dyDescent="0.25">
      <c r="A8" s="54" t="s">
        <v>221</v>
      </c>
      <c r="B8" s="45" t="s">
        <v>227</v>
      </c>
      <c r="C8" s="56" t="s">
        <v>91</v>
      </c>
      <c r="D8" s="45" t="s">
        <v>169</v>
      </c>
      <c r="E8" s="46" t="s">
        <v>235</v>
      </c>
      <c r="F8" s="56" t="s">
        <v>236</v>
      </c>
      <c r="G8" s="57" t="s">
        <v>170</v>
      </c>
      <c r="H8" s="52" t="s">
        <v>22</v>
      </c>
      <c r="I8" s="53" t="s">
        <v>171</v>
      </c>
      <c r="J8" s="10" t="s">
        <v>198</v>
      </c>
      <c r="K8" s="10" t="s">
        <v>172</v>
      </c>
      <c r="L8" s="56"/>
    </row>
    <row r="9" spans="1:12" ht="60" customHeight="1" x14ac:dyDescent="0.25">
      <c r="A9" s="54" t="s">
        <v>226</v>
      </c>
      <c r="B9" s="46" t="s">
        <v>232</v>
      </c>
      <c r="C9" s="56" t="s">
        <v>111</v>
      </c>
      <c r="D9" s="45" t="s">
        <v>169</v>
      </c>
      <c r="E9" s="56" t="s">
        <v>233</v>
      </c>
      <c r="F9" s="56" t="s">
        <v>234</v>
      </c>
      <c r="G9" s="52" t="s">
        <v>180</v>
      </c>
      <c r="H9" s="52" t="s">
        <v>22</v>
      </c>
      <c r="I9" s="53" t="s">
        <v>171</v>
      </c>
      <c r="J9" s="10" t="s">
        <v>198</v>
      </c>
      <c r="K9" s="10" t="s">
        <v>172</v>
      </c>
      <c r="L9" s="55"/>
    </row>
    <row r="10" spans="1:12" ht="60" customHeight="1" x14ac:dyDescent="0.25">
      <c r="A10" s="54" t="s">
        <v>231</v>
      </c>
      <c r="B10" s="56" t="s">
        <v>248</v>
      </c>
      <c r="C10" s="56" t="s">
        <v>145</v>
      </c>
      <c r="D10" s="45" t="s">
        <v>169</v>
      </c>
      <c r="E10" s="56" t="s">
        <v>249</v>
      </c>
      <c r="F10" s="56" t="s">
        <v>250</v>
      </c>
      <c r="G10" s="57" t="s">
        <v>51</v>
      </c>
      <c r="H10" s="57" t="s">
        <v>51</v>
      </c>
      <c r="I10" s="53" t="s">
        <v>171</v>
      </c>
      <c r="J10" s="10" t="s">
        <v>198</v>
      </c>
      <c r="K10" s="10" t="s">
        <v>172</v>
      </c>
      <c r="L10" s="56"/>
    </row>
    <row r="11" spans="1:12" ht="60" customHeight="1" x14ac:dyDescent="0.25">
      <c r="A11" s="54" t="s">
        <v>247</v>
      </c>
      <c r="B11" s="55" t="s">
        <v>251</v>
      </c>
      <c r="C11" s="56" t="s">
        <v>151</v>
      </c>
      <c r="D11" s="45" t="s">
        <v>169</v>
      </c>
      <c r="E11" s="55" t="s">
        <v>252</v>
      </c>
      <c r="F11" s="55" t="s">
        <v>254</v>
      </c>
      <c r="G11" s="57" t="s">
        <v>170</v>
      </c>
      <c r="H11" s="52" t="s">
        <v>22</v>
      </c>
      <c r="I11" s="53" t="s">
        <v>171</v>
      </c>
      <c r="J11" s="10" t="s">
        <v>198</v>
      </c>
      <c r="K11" s="10" t="s">
        <v>172</v>
      </c>
      <c r="L11" s="55"/>
    </row>
    <row r="12" spans="1:12" ht="60" customHeight="1" x14ac:dyDescent="0.25">
      <c r="A12" s="54"/>
      <c r="B12" s="56"/>
      <c r="C12" s="56"/>
      <c r="D12" s="56"/>
      <c r="E12" s="56"/>
      <c r="F12" s="56"/>
      <c r="G12" s="56"/>
      <c r="H12" s="56"/>
      <c r="I12" s="56"/>
      <c r="J12" s="56"/>
      <c r="K12" s="56"/>
      <c r="L12" s="56"/>
    </row>
    <row r="13" spans="1:12" ht="60" customHeight="1" x14ac:dyDescent="0.25">
      <c r="A13" s="55"/>
      <c r="B13" s="55"/>
      <c r="C13" s="55"/>
      <c r="D13" s="55"/>
      <c r="E13" s="55"/>
      <c r="F13" s="55"/>
      <c r="G13" s="55"/>
      <c r="H13" s="55"/>
      <c r="I13" s="55"/>
      <c r="J13" s="55"/>
      <c r="K13" s="55"/>
      <c r="L13" s="55"/>
    </row>
    <row r="14" spans="1:12" ht="60" customHeight="1" x14ac:dyDescent="0.25">
      <c r="A14" s="56"/>
      <c r="B14" s="56"/>
      <c r="C14" s="56"/>
      <c r="D14" s="56"/>
      <c r="E14" s="56"/>
      <c r="F14" s="56"/>
      <c r="G14" s="56"/>
      <c r="H14" s="56"/>
      <c r="I14" s="56"/>
      <c r="J14" s="56"/>
      <c r="K14" s="56"/>
      <c r="L14" s="56"/>
    </row>
    <row r="15" spans="1:12" ht="60" customHeight="1" x14ac:dyDescent="0.25">
      <c r="A15" s="55"/>
      <c r="B15" s="55"/>
      <c r="C15" s="55"/>
      <c r="D15" s="55"/>
      <c r="E15" s="55"/>
      <c r="F15" s="55"/>
      <c r="G15" s="55"/>
      <c r="H15" s="55"/>
      <c r="I15" s="55"/>
      <c r="J15" s="55"/>
      <c r="K15" s="55"/>
      <c r="L15" s="55"/>
    </row>
    <row r="16" spans="1:12" ht="60" customHeight="1" x14ac:dyDescent="0.25">
      <c r="A16" s="56"/>
      <c r="B16" s="56"/>
      <c r="C16" s="56"/>
      <c r="D16" s="56"/>
      <c r="E16" s="56"/>
      <c r="F16" s="56"/>
      <c r="G16" s="56"/>
      <c r="H16" s="56"/>
      <c r="I16" s="56"/>
      <c r="J16" s="56"/>
      <c r="K16" s="56"/>
      <c r="L16" s="56"/>
    </row>
    <row r="17" spans="1:12" ht="60" customHeight="1" x14ac:dyDescent="0.25">
      <c r="A17" s="55"/>
      <c r="B17" s="55"/>
      <c r="C17" s="55"/>
      <c r="D17" s="55"/>
      <c r="E17" s="55"/>
      <c r="F17" s="55"/>
      <c r="G17" s="55"/>
      <c r="H17" s="55"/>
      <c r="I17" s="55"/>
      <c r="J17" s="55"/>
      <c r="K17" s="55"/>
      <c r="L17" s="55"/>
    </row>
    <row r="18" spans="1:12" ht="60" customHeight="1" x14ac:dyDescent="0.25">
      <c r="A18" s="56"/>
      <c r="B18" s="56"/>
      <c r="C18" s="56"/>
      <c r="D18" s="56"/>
      <c r="E18" s="56"/>
      <c r="F18" s="56"/>
      <c r="G18" s="56"/>
      <c r="H18" s="56"/>
      <c r="I18" s="56"/>
      <c r="J18" s="56"/>
      <c r="K18" s="56"/>
      <c r="L18" s="56"/>
    </row>
    <row r="19" spans="1:12" ht="60" customHeight="1" x14ac:dyDescent="0.25">
      <c r="A19" s="55"/>
      <c r="B19" s="55"/>
      <c r="C19" s="55"/>
      <c r="D19" s="55"/>
      <c r="E19" s="55"/>
      <c r="F19" s="55"/>
      <c r="G19" s="55"/>
      <c r="H19" s="55"/>
      <c r="I19" s="55"/>
      <c r="J19" s="55"/>
      <c r="K19" s="55"/>
      <c r="L19" s="55"/>
    </row>
  </sheetData>
  <mergeCells count="2">
    <mergeCell ref="A1:G1"/>
    <mergeCell ref="A2:G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showGridLines="0" zoomScaleNormal="100" workbookViewId="0">
      <selection activeCell="B9" sqref="B9"/>
    </sheetView>
  </sheetViews>
  <sheetFormatPr baseColWidth="10" defaultColWidth="8.7109375" defaultRowHeight="15" x14ac:dyDescent="0.25"/>
  <cols>
    <col min="1" max="1" width="30" customWidth="1"/>
    <col min="2" max="2" width="16" customWidth="1"/>
    <col min="4" max="4" width="28" customWidth="1"/>
    <col min="5" max="5" width="10" customWidth="1"/>
    <col min="6" max="6" width="18" customWidth="1"/>
  </cols>
  <sheetData>
    <row r="1" spans="1:6" ht="31.5" customHeight="1" x14ac:dyDescent="0.25">
      <c r="A1" s="6" t="s">
        <v>182</v>
      </c>
      <c r="B1" s="6"/>
      <c r="C1" s="6"/>
      <c r="D1" s="6"/>
      <c r="E1" s="6"/>
      <c r="F1" s="6"/>
    </row>
    <row r="3" spans="1:6" ht="19.5" customHeight="1" x14ac:dyDescent="0.25">
      <c r="A3" s="2" t="s">
        <v>183</v>
      </c>
      <c r="B3" s="2"/>
      <c r="D3" s="2" t="s">
        <v>184</v>
      </c>
      <c r="E3" s="2"/>
      <c r="F3" s="2"/>
    </row>
    <row r="4" spans="1:6" ht="27.75" customHeight="1" x14ac:dyDescent="0.25">
      <c r="A4" s="19" t="s">
        <v>185</v>
      </c>
      <c r="B4" s="20">
        <f>COUNTA('Casos de Prueba'!A4:A30)</f>
        <v>27</v>
      </c>
      <c r="D4" s="21" t="s">
        <v>16</v>
      </c>
      <c r="E4" s="22">
        <v>6</v>
      </c>
      <c r="F4" s="23" t="s">
        <v>186</v>
      </c>
    </row>
    <row r="5" spans="1:6" ht="27.75" customHeight="1" x14ac:dyDescent="0.25">
      <c r="A5" s="24" t="s">
        <v>187</v>
      </c>
      <c r="B5" s="25">
        <f>COUNTIF('Casos de Prueba'!H4:H30,"Pass")</f>
        <v>12</v>
      </c>
      <c r="D5" s="26" t="s">
        <v>54</v>
      </c>
      <c r="E5" s="27">
        <v>6</v>
      </c>
      <c r="F5" s="28" t="s">
        <v>186</v>
      </c>
    </row>
    <row r="6" spans="1:6" ht="27.75" customHeight="1" x14ac:dyDescent="0.25">
      <c r="A6" s="19" t="s">
        <v>188</v>
      </c>
      <c r="B6" s="29">
        <f>COUNTIF('Casos de Prueba'!H4:H30,"Fail")</f>
        <v>12</v>
      </c>
      <c r="D6" s="30" t="s">
        <v>83</v>
      </c>
      <c r="E6" s="31">
        <v>5</v>
      </c>
      <c r="F6" s="32" t="s">
        <v>186</v>
      </c>
    </row>
    <row r="7" spans="1:6" ht="27.75" customHeight="1" x14ac:dyDescent="0.25">
      <c r="A7" s="24" t="s">
        <v>189</v>
      </c>
      <c r="B7" s="33">
        <f>COUNTIF('Casos de Prueba'!H4:H30,"Blocked")</f>
        <v>3</v>
      </c>
      <c r="D7" s="34" t="s">
        <v>106</v>
      </c>
      <c r="E7" s="35">
        <v>7</v>
      </c>
      <c r="F7" s="36" t="s">
        <v>186</v>
      </c>
    </row>
    <row r="8" spans="1:6" ht="27.75" customHeight="1" x14ac:dyDescent="0.25">
      <c r="A8" s="19" t="s">
        <v>190</v>
      </c>
      <c r="B8" s="37">
        <f>COUNTIF('Casos de Prueba'!H4:H30,"Pending")</f>
        <v>0</v>
      </c>
      <c r="D8" s="38" t="s">
        <v>140</v>
      </c>
      <c r="E8" s="39">
        <v>3</v>
      </c>
      <c r="F8" s="40" t="s">
        <v>186</v>
      </c>
    </row>
    <row r="9" spans="1:6" ht="27.75" customHeight="1" x14ac:dyDescent="0.25">
      <c r="A9" s="24" t="s">
        <v>191</v>
      </c>
      <c r="B9" s="41">
        <f>IF(B4=0,0,ROUND((B5+B6+B7)*100/B4,1))</f>
        <v>100</v>
      </c>
    </row>
    <row r="10" spans="1:6" ht="27.75" customHeight="1" x14ac:dyDescent="0.25">
      <c r="A10" s="19" t="s">
        <v>192</v>
      </c>
      <c r="B10" s="42">
        <v>8</v>
      </c>
    </row>
    <row r="11" spans="1:6" ht="27.75" customHeight="1" x14ac:dyDescent="0.25">
      <c r="A11" s="24" t="s">
        <v>193</v>
      </c>
      <c r="B11" s="29">
        <v>3</v>
      </c>
    </row>
    <row r="12" spans="1:6" ht="27.75" customHeight="1" x14ac:dyDescent="0.25">
      <c r="A12" s="19" t="s">
        <v>194</v>
      </c>
      <c r="B12" s="43">
        <v>3</v>
      </c>
    </row>
    <row r="13" spans="1:6" ht="27.75" customHeight="1" x14ac:dyDescent="0.25">
      <c r="A13" s="61" t="s">
        <v>253</v>
      </c>
      <c r="B13" s="33">
        <f>COUNTIF('Bug Reports'!G4:G6,"Minor")</f>
        <v>1</v>
      </c>
    </row>
    <row r="14" spans="1:6" ht="15.75" x14ac:dyDescent="0.25">
      <c r="A14" s="24" t="s">
        <v>195</v>
      </c>
      <c r="B14" s="33">
        <f>COUNTIF('Bug Reports'!G5:G7,"Minor")</f>
        <v>1</v>
      </c>
    </row>
    <row r="16" spans="1:6" x14ac:dyDescent="0.25">
      <c r="A16" s="1" t="s">
        <v>196</v>
      </c>
      <c r="B16" s="1"/>
      <c r="C16" s="1"/>
      <c r="D16" s="1"/>
      <c r="E16" s="1"/>
      <c r="F16" s="1"/>
    </row>
  </sheetData>
  <mergeCells count="4">
    <mergeCell ref="A1:F1"/>
    <mergeCell ref="A3:B3"/>
    <mergeCell ref="D3:F3"/>
    <mergeCell ref="A16:F16"/>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Casos de Prueba</vt:lpstr>
      <vt:lpstr>Bug Reports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Enmanuel Villegas Duarte</cp:lastModifiedBy>
  <cp:revision>0</cp:revision>
  <dcterms:created xsi:type="dcterms:W3CDTF">2026-04-24T21:02:05Z</dcterms:created>
  <dcterms:modified xsi:type="dcterms:W3CDTF">2026-04-25T03:54:59Z</dcterms:modified>
  <dc:language>en-US</dc:language>
</cp:coreProperties>
</file>