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QA Portfolio\"/>
    </mc:Choice>
  </mc:AlternateContent>
  <xr:revisionPtr revIDLastSave="0" documentId="13_ncr:1_{3230AB39-C662-4C0A-AAB3-352592693A7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Casos de Prueba" sheetId="1" r:id="rId1"/>
    <sheet name="Bug Reports " sheetId="4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9" i="3" s="1"/>
</calcChain>
</file>

<file path=xl/sharedStrings.xml><?xml version="1.0" encoding="utf-8"?>
<sst xmlns="http://schemas.openxmlformats.org/spreadsheetml/2006/main" count="400" uniqueCount="256">
  <si>
    <t>CASOS DE PRUEBA — Saucedemo.com QA Portfolio Project</t>
  </si>
  <si>
    <t>Aplicacion: https://www.saucedemo.com</t>
  </si>
  <si>
    <t>Tester: Enmanuel Villegas Duarte</t>
  </si>
  <si>
    <t>Version: 1.0  |  Fecha: Abril 2025</t>
  </si>
  <si>
    <t>ID</t>
  </si>
  <si>
    <t>Modulo</t>
  </si>
  <si>
    <t>Titulo del Caso</t>
  </si>
  <si>
    <t>Precondiciones</t>
  </si>
  <si>
    <t>Pasos de Ejecucion</t>
  </si>
  <si>
    <t>Resultado Esperado</t>
  </si>
  <si>
    <t>Resultado Real</t>
  </si>
  <si>
    <t>Estado</t>
  </si>
  <si>
    <t>Severidad Bug</t>
  </si>
  <si>
    <t>Prioridad</t>
  </si>
  <si>
    <t>Ejecutado por</t>
  </si>
  <si>
    <t>Notas</t>
  </si>
  <si>
    <t>TC-001</t>
  </si>
  <si>
    <t>M-01 Autenticacion</t>
  </si>
  <si>
    <t>Login exitoso con credenciales validas</t>
  </si>
  <si>
    <t>Usuario en pagina de login (https://www.saucedemo.com)</t>
  </si>
  <si>
    <t>1. Ingresar 'standard_user' en campo Username
2. Ingresar 'secret_sauce' en campo Password
3. Clic en boton 'Login'</t>
  </si>
  <si>
    <t>El sistema redirige al catalogo de productos (/inventory.html). Badge del carrito visible. Header con menu hamburguesa visible.</t>
  </si>
  <si>
    <t>Sistema redirige al usuario a /inventory.html. Header visible con menu hamburguesa e icono de carrito disponible.</t>
  </si>
  <si>
    <t>Pass</t>
  </si>
  <si>
    <t>Enmanuel Villegas Duarte</t>
  </si>
  <si>
    <t>Caso principal del flujo de autenticacion</t>
  </si>
  <si>
    <t>TC-002</t>
  </si>
  <si>
    <t>Login fallido con contrasena incorrecta</t>
  </si>
  <si>
    <t>Usuario en pagina de login</t>
  </si>
  <si>
    <t>1. Ingresar 'standard_user' en campo Username
2. Ingresar 'password_incorrecta' en campo Password
3. Clic en boton 'Login'</t>
  </si>
  <si>
    <t>Se muestra mensaje de error: 'Username and password do not match any user in this service'. No se realiza redireccion.</t>
  </si>
  <si>
    <t>Se muestra el mensaje de error esperado. No se realiza redireccion.</t>
  </si>
  <si>
    <t>Validar que el mensaje de error sea exacto</t>
  </si>
  <si>
    <t>TC-003</t>
  </si>
  <si>
    <t>Login con campos vacios</t>
  </si>
  <si>
    <t>1. Dejar campo Username vacio
2. Dejar campo Password vacio
3. Clic en boton 'Login'</t>
  </si>
  <si>
    <t>Se muestra mensaje de error indicando que el campo Username es requerido. No se realiza redireccion.</t>
  </si>
  <si>
    <t>Probar tambien con solo Username vacio y solo Password vacio</t>
  </si>
  <si>
    <t>TC-004</t>
  </si>
  <si>
    <t>Login con usuario bloqueado (locked_out_user)</t>
  </si>
  <si>
    <t>1. Ingresar 'locked_out_user' en campo Username
2. Ingresar 'secret_sauce' en campo Password
3. Clic en boton 'Login'</t>
  </si>
  <si>
    <t>Se muestra mensaje de error: 'Sorry, this user has been locked out.' No se realiza redireccion.</t>
  </si>
  <si>
    <t>Verificar exactamente el mensaje mostrado</t>
  </si>
  <si>
    <t>TC-005</t>
  </si>
  <si>
    <t>Logout exitoso del sistema</t>
  </si>
  <si>
    <t>Usuario autenticado en el catalogo de productos</t>
  </si>
  <si>
    <t>1. Clic en el icono de menu hamburguesa (arriba izquierda)
2. Clic en opcion 'Logout'
3. Confirmar redireccion</t>
  </si>
  <si>
    <t>El sistema cierra la sesion y redirige a la pagina de login. Los campos de login estan vacios.</t>
  </si>
  <si>
    <t>Verificar que no sea posible regresar con el boton 'Atras'</t>
  </si>
  <si>
    <t>TC-006</t>
  </si>
  <si>
    <t>Acceso directo a inventory sin sesion activa</t>
  </si>
  <si>
    <t>Ningun usuario autenticado en el navegador</t>
  </si>
  <si>
    <t>1. Abrir el navegador sin sesion activa
2. Navegar directamente a https://www.saucedemo.com/inventory.html</t>
  </si>
  <si>
    <t>El sistema redirige automaticamente a la pagina de login. No se muestra el catalogo sin autenticacion.</t>
  </si>
  <si>
    <t>El sistema detecta que no hay sesion activa y redirige automaticamente a la pagina de login. No se muestra el catalogo.</t>
  </si>
  <si>
    <t>Verificar proteccion de rutas</t>
  </si>
  <si>
    <t>TC-007</t>
  </si>
  <si>
    <t>M-02 Catalogo</t>
  </si>
  <si>
    <t>Visualizacion de productos en el catalogo</t>
  </si>
  <si>
    <t>Usuario en pagina de login. Usar standar_user</t>
  </si>
  <si>
    <t>1. Iniciar sesion exitosamente
2. Observar la pagina de inventario</t>
  </si>
  <si>
    <t>Se muestran 6 productos con: nombre, descripcion, precio y boton 'Add to cart'. Las imagenes cargan correctamente.</t>
  </si>
  <si>
    <t>Se muestran los 6 productos correctamente con nombre, descripcion, precio e imagen. Boton 'Add to cart' visible en cada uno.</t>
  </si>
  <si>
    <t>Contar exactamente 6 productos visibles</t>
  </si>
  <si>
    <t>TC-008</t>
  </si>
  <si>
    <t>Filtro de productos: Precio de menor a mayor</t>
  </si>
  <si>
    <t>Usuario autenticado, en pagina de catalogo</t>
  </si>
  <si>
    <t>1. Clic en el dropdown de filtro (arriba derecha)
2. Seleccionar 'Price (low to high)'</t>
  </si>
  <si>
    <t>Los 6 productos se reordenan mostrando primero el de menor precio ($7.99) y al final el de mayor precio.</t>
  </si>
  <si>
    <t>Los productos se reordenan correctamente de menor a mayor precio. Primer producto: $7.99.</t>
  </si>
  <si>
    <t>Verificar el precio del primer y ultimo producto</t>
  </si>
  <si>
    <t>TC-009</t>
  </si>
  <si>
    <t>Filtro de productos: Precio de mayor a menor</t>
  </si>
  <si>
    <t>1. Clic en el dropdown de filtro
2. Seleccionar 'Price (high to low)'</t>
  </si>
  <si>
    <t>Los productos se reordenan mostrando primero el de mayor precio y al final el de menor precio.</t>
  </si>
  <si>
    <t>Los productos se reordenan correctamente de mayor a menor precio.</t>
  </si>
  <si>
    <t>TC-010</t>
  </si>
  <si>
    <t>Filtro de productos: Nombre A-Z</t>
  </si>
  <si>
    <t>1. Clic en el dropdown de filtro
2. Seleccionar 'Name (A to Z)'</t>
  </si>
  <si>
    <t>Los productos se muestran ordenados alfabeticamente de la A a la Z.</t>
  </si>
  <si>
    <t>Los productos se muestran ordenados correctamente de A a Z.</t>
  </si>
  <si>
    <t>TC-011</t>
  </si>
  <si>
    <t>Filtro de productos: Nombre Z-A</t>
  </si>
  <si>
    <t>1. Clic en el dropdown de filtro
2. Seleccionar 'Name (Z to A)'</t>
  </si>
  <si>
    <t>Los productos se muestran ordenados alfabeticamente de la Z a la A.</t>
  </si>
  <si>
    <t>Los productos se muestran ordenados correctamente de Z a A.</t>
  </si>
  <si>
    <t>TC-012</t>
  </si>
  <si>
    <t>Ver detalle de un producto</t>
  </si>
  <si>
    <t>1. Clic en el nombre o imagen de cualquier producto
2. Observar la pagina de detalle</t>
  </si>
  <si>
    <t>Se muestra la pagina de detalle con: nombre completo, descripcion, precio, imagen ampliada y boton 'Add to cart'. Boton 'Back to products' visible.</t>
  </si>
  <si>
    <t>Se muestra la pagina de detalle correcta con nombre, descripcion, precio, imagen ampliada y boton 'Add to cart'. Boton 'Back to products' visible.</t>
  </si>
  <si>
    <t>Probar con al menos 2 productos distintos</t>
  </si>
  <si>
    <t>TC-013</t>
  </si>
  <si>
    <t>M-03 Carrito</t>
  </si>
  <si>
    <t>Agregar un producto al carrito desde el catalogo</t>
  </si>
  <si>
    <t>1. Clic en boton 'Add to cart' de cualquier producto
2. Observar el badge del carrito</t>
  </si>
  <si>
    <t>El boton cambia a 'Remove'. El badge del icono del carrito muestra el numero '1'.</t>
  </si>
  <si>
    <t>El boton cambia a 'Remove'. El badge del carrito muestra '1'.</t>
  </si>
  <si>
    <t>TC-014</t>
  </si>
  <si>
    <t>Agregar multiples productos al carrito</t>
  </si>
  <si>
    <t>1. Clic en 'Add to cart' del producto 1
2. Clic en 'Add to cart' del producto 2
3. Clic en 'Add to cart' del producto 3
4. Observar badge del carrito</t>
  </si>
  <si>
    <t>El badge del carrito muestra el numero '3'. Los tres botones cambian a 'Remove'.</t>
  </si>
  <si>
    <t>Los tres productos se agregan correctamente. El badge del carrito muestra '3'.</t>
  </si>
  <si>
    <t>TC-015</t>
  </si>
  <si>
    <t>Remover un producto del carrito desde el catalogo</t>
  </si>
  <si>
    <t>Usuario autenticado, con al menos 1 producto en el carrito</t>
  </si>
  <si>
    <t>1. Clic en boton 'Remove' del producto agregado
2. Observar badge del carrito</t>
  </si>
  <si>
    <t>El boton vuelve a mostrar 'Add to cart'. El badge del carrito decrementa en 1 o desaparece si era el ultimo producto.</t>
  </si>
  <si>
    <t>El boton vuelve a mostrar 'Add to cart'. El badge decrementa en 1.</t>
  </si>
  <si>
    <t>TC-016</t>
  </si>
  <si>
    <t>Ver los productos dentro del carrito</t>
  </si>
  <si>
    <t>1. Clic en el icono del carrito (arriba derecha)
2. Observar la pagina del carrito</t>
  </si>
  <si>
    <t>Se muestra la pagina del carrito con los productos agregados: nombre, descripcion, precio y cantidad. Botones 'Continue Shopping' y 'Checkout' visibles.</t>
  </si>
  <si>
    <t>Se muestra la pagina del carrito con los productos, precios y botones 'Continue Shopping' y 'Checkout' visibles.</t>
  </si>
  <si>
    <t>TC-017</t>
  </si>
  <si>
    <t>Remover un producto desde la pagina del carrito</t>
  </si>
  <si>
    <t>Usuario autenticado, con al menos 2 productos en el carrito, en la pagina del carrito</t>
  </si>
  <si>
    <t>1. Clic en boton 'Remove' de un producto dentro del carrito
2. Observar los productos restantes</t>
  </si>
  <si>
    <t>El producto eliminado desaparece de la lista. El badge del carrito en el header decrementa en 1. Los demas productos permanecen.</t>
  </si>
  <si>
    <t>El producto se elimina de la lista del carrito. El badge decrementa. Los demas productos permanecen.</t>
  </si>
  <si>
    <t>TC-018</t>
  </si>
  <si>
    <t>M-04 Checkout</t>
  </si>
  <si>
    <t>Iniciar checkout con productos en el carrito</t>
  </si>
  <si>
    <t>Usuario autenticado, con al menos 1 producto en el carrito, en la pagina del carrito</t>
  </si>
  <si>
    <t>1. Clic en boton 'Checkout'
2. Observar la siguiente pantalla</t>
  </si>
  <si>
    <t>El sistema redirige al formulario de informacion del cliente (Checkout Step One). Campos visibles: First Name, Last Name, Zip/Postal Code.</t>
  </si>
  <si>
    <t>El sistema redirige correctamente al formulario de informacion del cliente (Checkout Step One) con los tres campos visibles.</t>
  </si>
  <si>
    <t>TC-019</t>
  </si>
  <si>
    <t>Completar formulario de checkout con datos validos</t>
  </si>
  <si>
    <t>Usuario en la pagina 'Checkout: Your Information'</t>
  </si>
  <si>
    <t>1. Ingresar 'Juan' en campo First Name
2. Ingresar 'Perez' en campo Last Name
3. Ingresar '10101' en campo Zip Code
4. Clic en boton 'Continue'</t>
  </si>
  <si>
    <t>El sistema redirige al resumen del pedido (Checkout Step Two) mostrando: productos, subtotal, impuesto y total.</t>
  </si>
  <si>
    <t>Todos los campos aceptan datos correctamente. El sistema redirige al resumen del pedido (Checkout Step Two) mostrando productos, subtotal, impuesto y total.</t>
  </si>
  <si>
    <t>TC-020</t>
  </si>
  <si>
    <t>Checkout con campos del formulario vacios</t>
  </si>
  <si>
    <t>1. Dejar todos los campos vacios
2. Clic en boton 'Continue'</t>
  </si>
  <si>
    <t>Se muestra mensaje de error indicando que el campo First Name es requerido. No se realiza redireccion.</t>
  </si>
  <si>
    <t>Alta</t>
  </si>
  <si>
    <t>Probar cada campo vacio de forma individual</t>
  </si>
  <si>
    <t>TC-021</t>
  </si>
  <si>
    <t>Verificar resumen y calculo del total</t>
  </si>
  <si>
    <t>Usuario en la pagina 'Checkout: Overview' con 1 producto de $29.99</t>
  </si>
  <si>
    <t>1. Observar el resumen del pedido
2. Verificar: Item total, Tax y Order Total</t>
  </si>
  <si>
    <t>El 'Item total' muestra el precio correcto. El 'Tax' es el 8% del subtotal. El 'Total' es la suma de Item total + Tax.</t>
  </si>
  <si>
    <t>El Item total, Tax y Total se calculan y muestran correctamente en el resumen.</t>
  </si>
  <si>
    <t>Calcular manualmente para validar</t>
  </si>
  <si>
    <t>TC-022</t>
  </si>
  <si>
    <t>Confirmar la compra (Finish)</t>
  </si>
  <si>
    <t>Usuario en la pagina 'Checkout: Overview'</t>
  </si>
  <si>
    <t>1. Revisar el resumen del pedido
2. Clic en boton 'Finish'</t>
  </si>
  <si>
    <t>El sistema redirige a la pagina de confirmacion con el mensaje 'Thank you for your order!' y el texto 'Your order has been dispatched'. El carrito aparece vacio.</t>
  </si>
  <si>
    <t>El sistema redirige a la pagina de confirmacion con el mensaje 'Thank you for your order!'. El carrito aparece vacio.</t>
  </si>
  <si>
    <t>Verificar que el badge del carrito desaparezca</t>
  </si>
  <si>
    <t>TC-023</t>
  </si>
  <si>
    <t>Cancelar el checkout y regresar al catalogo</t>
  </si>
  <si>
    <t>1. Clic en boton 'Cancel'</t>
  </si>
  <si>
    <t>El sistema regresa a la pagina del carrito. Los productos en el carrito permanecen sin cambios.</t>
  </si>
  <si>
    <t>Media</t>
  </si>
  <si>
    <t>TC-024</t>
  </si>
  <si>
    <t>Cancelar desde el resumen y regresar</t>
  </si>
  <si>
    <t>El sistema regresa al catalogo de productos. Los productos en el carrito permanecen.</t>
  </si>
  <si>
    <t>TC-025</t>
  </si>
  <si>
    <t>M-05 Navegacion</t>
  </si>
  <si>
    <t>Navegar de regreso al catalogo desde detalle de producto</t>
  </si>
  <si>
    <t>Usuario autenticado, en la pagina de detalle de un producto</t>
  </si>
  <si>
    <t>1. Clic en el boton 'Back to products'</t>
  </si>
  <si>
    <t>El sistema regresa al catalogo de productos. El estado del carrito (badge) permanece sin cambios.</t>
  </si>
  <si>
    <t>El sistema regresa correctamente al catalogo. El estado del carrito permanece sin cambios.</t>
  </si>
  <si>
    <t>TC-026</t>
  </si>
  <si>
    <t>Acceder a 'About' desde el menu hamburguesa</t>
  </si>
  <si>
    <t>Usuario autenticado en cualquier pagina</t>
  </si>
  <si>
    <t>1. Clic en icono de menu hamburguesa
2. Clic en 'About'</t>
  </si>
  <si>
    <t>El sistema redirige al sitio oficial de Saucedemo/Sauce Labs en una nueva pagina o en la misma ventana.</t>
  </si>
  <si>
    <t>El sistema redirige al sitio oficial de Sauce Labs correctamente.</t>
  </si>
  <si>
    <t>TC-027</t>
  </si>
  <si>
    <t>Resetear el estado de la app desde el menu</t>
  </si>
  <si>
    <t>Usuario autenticado con productos en el carrito</t>
  </si>
  <si>
    <t>1. Clic en menu hamburguesa
2. Clic en 'Reset App State'
3. Observar el carrito</t>
  </si>
  <si>
    <t>El badge del carrito desaparece. Todos los botones de productos vuelven a mostrar 'Add to cart'. La sesion permanece activa.</t>
  </si>
  <si>
    <t>El badge del carrito desaparece correctamente. Sin embargo, los botones de los productos permanecen en 'Remove' en lugar de regresar a 'Add to cart'.</t>
  </si>
  <si>
    <t>Fail</t>
  </si>
  <si>
    <t>Minor</t>
  </si>
  <si>
    <t>BUG REPORT — Saucedemo.com QA Portfolio Project</t>
  </si>
  <si>
    <t>Formato profesional de reporte de defectos — Usar una fila por bug encontrado</t>
  </si>
  <si>
    <t>Bug ID</t>
  </si>
  <si>
    <t>Titulo del Bug</t>
  </si>
  <si>
    <t>TC Relacionado</t>
  </si>
  <si>
    <t>Ambiente</t>
  </si>
  <si>
    <t>Pasos para Reproducir</t>
  </si>
  <si>
    <t>Resultado Esperado vs Real</t>
  </si>
  <si>
    <t>Severidad</t>
  </si>
  <si>
    <t>Reportado por</t>
  </si>
  <si>
    <t>Fecha</t>
  </si>
  <si>
    <t>Screenshot/Evidencia</t>
  </si>
  <si>
    <t>BUG-001</t>
  </si>
  <si>
    <t>Los filtros no funcionan correctamente con problem_user</t>
  </si>
  <si>
    <t>TC-011, TC-010, TC-009, TC-008</t>
  </si>
  <si>
    <t>Chrome 124 / Windows 10</t>
  </si>
  <si>
    <t>1. Login con problem_user
2. En catalogo, click en dropdown de filtro
3. Seleccionar culaquier filtro
4. Observar el orden de los productos</t>
  </si>
  <si>
    <t>ESPERADO: Productos ordenadossegun el filtro aplicado
REAL: Productos aparecen en orden incorrecto</t>
  </si>
  <si>
    <t>Major</t>
  </si>
  <si>
    <t>Abierto</t>
  </si>
  <si>
    <t>Ver screenshot BUG-001.png</t>
  </si>
  <si>
    <t>BUG-002</t>
  </si>
  <si>
    <t>Imagen incorrecta en productos con problem_user</t>
  </si>
  <si>
    <t>1. Login con problem_user / secret_sauce
2. Observar el catalogo de productos
3. Revisar imagenes de los productos</t>
  </si>
  <si>
    <t>ESPERADO: Imagenes segun el nombre del producto
REAL: Se muestra la imagen de otro producto (perro) en lugar de las imagenes correspondientes</t>
  </si>
  <si>
    <t>Ver screenshot BUG-002.png</t>
  </si>
  <si>
    <t>BUG-003</t>
  </si>
  <si>
    <t>Boton 'Add to cart' no responde para algunos productos con problem_user</t>
  </si>
  <si>
    <t>TC-013, TC-14</t>
  </si>
  <si>
    <t>1. Login con problem_user / secret_sauce
2. Intentar hacer clic en 'Add to cart' de algunos productos
3. Observar el badge del carrito</t>
  </si>
  <si>
    <t>ESPERADO: Producto se agrega al carrito, badge muestra '1'
REAL: El badge no se actualiza. El producto no se agrega al carrito.</t>
  </si>
  <si>
    <t>Critical</t>
  </si>
  <si>
    <t>Ver screenshot BUG-003.png</t>
  </si>
  <si>
    <t>BUG-004</t>
  </si>
  <si>
    <t>Redirección incorrecta en el detalle de productos al usar cuenta problem_user.</t>
  </si>
  <si>
    <t>1. Login con problem_user / secret_sauce
2.En la página del catálogo, hacer clic en el nombre (o imagen) de cualquier producto.
3. Observar la página de detalles del producto mostrada.</t>
  </si>
  <si>
    <t>ESPERADO: Se muestran los detalles, precio y descripción correspondientes
REAL: Se muestran los detalles de un producto distinto.</t>
  </si>
  <si>
    <t>BUG-005</t>
  </si>
  <si>
    <t>Botón 'Remove' no funciona en la pagina de catalogo al usar problem_user.</t>
  </si>
  <si>
    <t>BUG-007</t>
  </si>
  <si>
    <t>El campo 'Last Name' sobrescribe el valor de 'First Name' bloqueando el Checkout (problem_user)</t>
  </si>
  <si>
    <t>1. Logincon credenciales de problem_user.
2. Agregar un producto y navegar hasta el paso de Checkout ('Checkout: Your Information').
3. Escribir texto en el campo 'First Name'.
4. Hacer clic en el campo 'Last Name' y comenzar a escribir.</t>
  </si>
  <si>
    <t xml:space="preserve">ESPERADO: Cada campo de texto debe capturar y mantener su propia información de forma independiente, permitiendo enviar el formulario completo.                                                                                         REAL: Lo que se teclea en el campo 'Last Name' modifica y reemplaza el texto previamente ingresado en 'First Name'. El campo 'Last Name' nunca retiene la información, haciendo imposible completar el formulario.                                                                                             </t>
  </si>
  <si>
    <t>Ver screenshot BUG-007.png</t>
  </si>
  <si>
    <t>RESUMEN DE EJECUCION — QA Portfolio Dashboard</t>
  </si>
  <si>
    <t>METRICAS GENERALES</t>
  </si>
  <si>
    <t>CASOS POR MODULO</t>
  </si>
  <si>
    <t>Total de Casos de Prueba</t>
  </si>
  <si>
    <t>casos de prueba</t>
  </si>
  <si>
    <t>TC Pass</t>
  </si>
  <si>
    <t>TC Fail</t>
  </si>
  <si>
    <t>TC Blocked</t>
  </si>
  <si>
    <t>TC Pending</t>
  </si>
  <si>
    <t>Cobertura (%)</t>
  </si>
  <si>
    <t>Total Bugs Reportados</t>
  </si>
  <si>
    <t>Bugs Criticos</t>
  </si>
  <si>
    <t>Bugs Mayores</t>
  </si>
  <si>
    <t>Bugs Menores</t>
  </si>
  <si>
    <t>Dashboard generado automaticamente — los valores se actualizan al editar los estados en la hoja 'Casos de Prueba'</t>
  </si>
  <si>
    <t>ESPERADO: El carrito debe vaciarse (el badge numérico debe desaparecer) y los botones deben volver al estado 'Add to cart'.                                                                               REAL: La acción no tiene ningún efecto en los botones "REMOVE". El carrito si resetea su contador y ellimina los productos previamente seleccionados.</t>
  </si>
  <si>
    <t>1. Login con cualquier usuario (ej. standard_user).
2. Agregar al menos un producto al carrito.
3. Desplegar el menú hamburguesa y hacer clic en 'Reset App State'.
4. Cerrar el menú y observar el estado de la página.</t>
  </si>
  <si>
    <t>Funcionalidad 'Reset App State' inoperante para todos los usuarios.</t>
  </si>
  <si>
    <t>BUG-008</t>
  </si>
  <si>
    <t>ESPERADO: Redirección exitosa a la página de Sauce Labs.                                                                                                      REAL: El enlace no funciona correctamente.</t>
  </si>
  <si>
    <t>1. Login con problem_user.
2. Desplegar el menú hamburguesa (esquina superior izquierda).
3. Hacer clic en la opción 'About'.</t>
  </si>
  <si>
    <t>Enlace 'About' en el menú hamburguesa no funciona al usar problem_user.</t>
  </si>
  <si>
    <t>BUG-006</t>
  </si>
  <si>
    <t>ESPERADO: El producto debe eliminarse, el botón debe volver a decir 'Add to cart' y el badge del carrito debe actualizarse.
REAL: El botón es inoperante; no realiza ninguna acción y el producto sigue en el carrito.</t>
  </si>
  <si>
    <t>1. Login con las credenciales de problem_user.
2. En el catálogo (inventory.html), hacer clic en 'Add to cart' en cualquier producto.
3. Una vez que el botón cambie a 'Remove', hacer clic sobre él para intentar eliminar el producto.</t>
  </si>
  <si>
    <t>Ver screenshot BUG-004.png</t>
  </si>
  <si>
    <t>Ver screenshot BUG-005.png</t>
  </si>
  <si>
    <t>Ver screenshot BUG-006.png</t>
  </si>
  <si>
    <t>Ver screenshot BUG-008.png</t>
  </si>
  <si>
    <t>Bugs 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</si>
</sst>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2E75B6"/>
      <name val="Arial"/>
      <charset val="1"/>
    </font>
    <font>
      <sz val="9"/>
      <color rgb="FF1F4E79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Arial"/>
      <charset val="1"/>
    </font>
    <font>
      <b/>
      <sz val="8"/>
      <color rgb="FF1F4E79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9"/>
      <color rgb="FF1E7E34"/>
      <name val="Arial"/>
      <charset val="1"/>
    </font>
    <font>
      <b/>
      <sz val="9"/>
      <color rgb="FFC0392B"/>
      <name val="Arial"/>
      <charset val="1"/>
    </font>
    <font>
      <sz val="9"/>
      <color rgb="FF000000"/>
      <name val="Arial"/>
      <family val="2"/>
      <charset val="1"/>
    </font>
    <font>
      <b/>
      <sz val="9"/>
      <color rgb="FF856404"/>
      <name val="Arial"/>
      <charset val="1"/>
    </font>
    <font>
      <i/>
      <sz val="9"/>
      <color rgb="FFC0392B"/>
      <name val="Arial"/>
      <charset val="1"/>
    </font>
    <font>
      <b/>
      <sz val="9"/>
      <color rgb="FF7B3F0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2"/>
      <color rgb="FF2E75B6"/>
      <name val="Arial"/>
      <charset val="1"/>
    </font>
    <font>
      <b/>
      <sz val="10"/>
      <color rgb="FF1F4E79"/>
      <name val="Arial"/>
      <charset val="1"/>
    </font>
    <font>
      <b/>
      <sz val="12"/>
      <color rgb="FF1F4E79"/>
      <name val="Arial"/>
      <charset val="1"/>
    </font>
    <font>
      <sz val="9"/>
      <color rgb="FF666666"/>
      <name val="Arial"/>
      <charset val="1"/>
    </font>
    <font>
      <b/>
      <sz val="12"/>
      <color rgb="FF1E7E34"/>
      <name val="Arial"/>
      <charset val="1"/>
    </font>
    <font>
      <b/>
      <sz val="12"/>
      <color rgb="FFC0392B"/>
      <name val="Arial"/>
      <charset val="1"/>
    </font>
    <font>
      <b/>
      <sz val="12"/>
      <color rgb="FF856404"/>
      <name val="Arial"/>
      <charset val="1"/>
    </font>
    <font>
      <b/>
      <sz val="12"/>
      <color rgb="FF555555"/>
      <name val="Arial"/>
      <charset val="1"/>
    </font>
    <font>
      <b/>
      <sz val="12"/>
      <color rgb="FFCC0000"/>
      <name val="Arial"/>
      <charset val="1"/>
    </font>
    <font>
      <b/>
      <sz val="12"/>
      <color rgb="FF7B3F00"/>
      <name val="Arial"/>
      <charset val="1"/>
    </font>
    <font>
      <i/>
      <sz val="8"/>
      <color rgb="FF888888"/>
      <name val="Arial"/>
      <charset val="1"/>
    </font>
    <font>
      <b/>
      <sz val="9"/>
      <color rgb="FFC0392B"/>
      <name val="Arial"/>
      <family val="2"/>
    </font>
    <font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0EDED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AF4EA"/>
      </patternFill>
    </fill>
    <fill>
      <patternFill patternType="solid">
        <fgColor rgb="FFFFFFFF"/>
        <bgColor rgb="FFF9FAFB"/>
      </patternFill>
    </fill>
    <fill>
      <patternFill patternType="solid">
        <fgColor rgb="FFD4EDDA"/>
        <bgColor rgb="FFD0EDED"/>
      </patternFill>
    </fill>
    <fill>
      <patternFill patternType="solid">
        <fgColor rgb="FFF8D7DA"/>
        <bgColor rgb="FFFFE0E0"/>
      </patternFill>
    </fill>
    <fill>
      <patternFill patternType="solid">
        <fgColor rgb="FFF9FAFB"/>
        <bgColor rgb="FFFFFFFF"/>
      </patternFill>
    </fill>
    <fill>
      <patternFill patternType="solid">
        <fgColor rgb="FFFFF3CD"/>
        <bgColor rgb="FFFFF8E1"/>
      </patternFill>
    </fill>
    <fill>
      <patternFill patternType="solid">
        <fgColor rgb="FFEAF4EA"/>
        <bgColor rgb="FFE8F5E9"/>
      </patternFill>
    </fill>
    <fill>
      <patternFill patternType="solid">
        <fgColor rgb="FFFFF8E1"/>
        <bgColor rgb="FFFFF3CD"/>
      </patternFill>
    </fill>
    <fill>
      <patternFill patternType="solid">
        <fgColor rgb="FFF3E5F5"/>
        <bgColor rgb="FFFFE0E0"/>
      </patternFill>
    </fill>
    <fill>
      <patternFill patternType="solid">
        <fgColor rgb="FFE0F7FA"/>
        <bgColor rgb="FFEBF3FB"/>
      </patternFill>
    </fill>
    <fill>
      <patternFill patternType="solid">
        <fgColor rgb="FFC0392B"/>
        <bgColor rgb="FF993366"/>
      </patternFill>
    </fill>
    <fill>
      <patternFill patternType="solid">
        <fgColor rgb="FFFFF0F0"/>
        <bgColor rgb="FFFFF8E1"/>
      </patternFill>
    </fill>
    <fill>
      <patternFill patternType="solid">
        <fgColor rgb="FFFFE0B2"/>
        <bgColor rgb="FFFFE0E0"/>
      </patternFill>
    </fill>
    <fill>
      <patternFill patternType="solid">
        <fgColor rgb="FFE8F5E9"/>
        <bgColor rgb="FFEAF4EA"/>
      </patternFill>
    </fill>
    <fill>
      <patternFill patternType="solid">
        <fgColor rgb="FFE8D5F5"/>
        <bgColor rgb="FFF8D7DA"/>
      </patternFill>
    </fill>
    <fill>
      <patternFill patternType="solid">
        <fgColor rgb="FFD0EDED"/>
        <bgColor rgb="FFD4EDDA"/>
      </patternFill>
    </fill>
    <fill>
      <patternFill patternType="solid">
        <fgColor rgb="FFFFE0E0"/>
        <bgColor rgb="FFF8D7DA"/>
      </patternFill>
    </fill>
    <fill>
      <patternFill patternType="solid">
        <fgColor theme="0"/>
        <bgColor rgb="FFFFE0E0"/>
      </patternFill>
    </fill>
    <fill>
      <patternFill patternType="solid">
        <fgColor theme="0"/>
        <bgColor rgb="FFFFF8E1"/>
      </patternFill>
    </fill>
    <fill>
      <patternFill patternType="solid">
        <fgColor theme="0"/>
        <bgColor rgb="FFD0EDED"/>
      </patternFill>
    </fill>
    <fill>
      <patternFill patternType="solid">
        <fgColor theme="0"/>
        <bgColor rgb="FFF9FAFB"/>
      </patternFill>
    </fill>
    <fill>
      <patternFill patternType="solid">
        <fgColor theme="9" tint="0.79998168889431442"/>
        <bgColor rgb="FFFFF8E1"/>
      </patternFill>
    </fill>
    <fill>
      <patternFill patternType="solid">
        <fgColor theme="9" tint="0.79998168889431442"/>
        <b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12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6" borderId="0" xfId="0" applyFont="1" applyFill="1" applyAlignment="1">
      <alignment horizontal="left" vertical="top" wrapText="1"/>
    </xf>
    <xf numFmtId="0" fontId="6" fillId="13" borderId="1" xfId="0" applyFont="1" applyFill="1" applyBorder="1" applyAlignment="1">
      <alignment horizontal="center" vertical="top" wrapText="1"/>
    </xf>
    <xf numFmtId="0" fontId="6" fillId="14" borderId="1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left" vertical="center"/>
    </xf>
    <xf numFmtId="0" fontId="19" fillId="1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left" vertical="center"/>
    </xf>
    <xf numFmtId="0" fontId="19" fillId="20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top" wrapText="1"/>
    </xf>
    <xf numFmtId="0" fontId="12" fillId="26" borderId="1" xfId="0" applyFont="1" applyFill="1" applyBorder="1" applyAlignment="1">
      <alignment horizontal="left" vertical="top" wrapText="1"/>
    </xf>
    <xf numFmtId="0" fontId="10" fillId="27" borderId="1" xfId="0" applyFont="1" applyFill="1" applyBorder="1" applyAlignment="1">
      <alignment horizontal="left" vertical="top" wrapText="1"/>
    </xf>
    <xf numFmtId="0" fontId="14" fillId="27" borderId="1" xfId="0" applyFont="1" applyFill="1" applyBorder="1" applyAlignment="1">
      <alignment horizontal="left" vertical="top" wrapText="1"/>
    </xf>
    <xf numFmtId="0" fontId="29" fillId="6" borderId="1" xfId="0" applyFont="1" applyFill="1" applyBorder="1" applyAlignment="1">
      <alignment horizontal="left" vertical="top" wrapText="1"/>
    </xf>
    <xf numFmtId="0" fontId="28" fillId="27" borderId="1" xfId="0" applyFont="1" applyFill="1" applyBorder="1" applyAlignment="1">
      <alignment horizontal="left" vertical="top" wrapText="1"/>
    </xf>
    <xf numFmtId="0" fontId="29" fillId="9" borderId="1" xfId="0" applyFont="1" applyFill="1" applyBorder="1" applyAlignment="1">
      <alignment horizontal="left" vertical="top" wrapText="1"/>
    </xf>
    <xf numFmtId="17" fontId="7" fillId="6" borderId="1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left" vertical="top" wrapText="1"/>
    </xf>
    <xf numFmtId="0" fontId="13" fillId="16" borderId="0" xfId="0" applyFont="1" applyFill="1" applyAlignment="1">
      <alignment horizontal="left" vertical="top" wrapText="1"/>
    </xf>
    <xf numFmtId="0" fontId="15" fillId="4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E8F5E9"/>
      <rgbColor rgb="FFFF00FF"/>
      <rgbColor rgb="FF00FFFF"/>
      <rgbColor rgb="FF800000"/>
      <rgbColor rgb="FF1E7E34"/>
      <rgbColor rgb="FF000080"/>
      <rgbColor rgb="FF856404"/>
      <rgbColor rgb="FF800080"/>
      <rgbColor rgb="FF008080"/>
      <rgbColor rgb="FFCCCCCC"/>
      <rgbColor rgb="FF888888"/>
      <rgbColor rgb="FFF3E5F5"/>
      <rgbColor rgb="FFC0392B"/>
      <rgbColor rgb="FFFFF8E1"/>
      <rgbColor rgb="FFE0F7FA"/>
      <rgbColor rgb="FF660066"/>
      <rgbColor rgb="FFF9FAFB"/>
      <rgbColor rgb="FF0066CC"/>
      <rgbColor rgb="FFE8D5F5"/>
      <rgbColor rgb="FF000080"/>
      <rgbColor rgb="FFFF00FF"/>
      <rgbColor rgb="FFEAF4EA"/>
      <rgbColor rgb="FF00FFFF"/>
      <rgbColor rgb="FF800080"/>
      <rgbColor rgb="FF800000"/>
      <rgbColor rgb="FF008080"/>
      <rgbColor rgb="FF0000FF"/>
      <rgbColor rgb="FF00CCFF"/>
      <rgbColor rgb="FFD0EDED"/>
      <rgbColor rgb="FFD4EDDA"/>
      <rgbColor rgb="FFFFF3CD"/>
      <rgbColor rgb="FFD6E4F0"/>
      <rgbColor rgb="FFF8D7DA"/>
      <rgbColor rgb="FFFFE0E0"/>
      <rgbColor rgb="FFFFE0B2"/>
      <rgbColor rgb="FF2E75B6"/>
      <rgbColor rgb="FF33CCCC"/>
      <rgbColor rgb="FF99CC00"/>
      <rgbColor rgb="FFFFF0F0"/>
      <rgbColor rgb="FFFF9900"/>
      <rgbColor rgb="FFFF6600"/>
      <rgbColor rgb="FF666666"/>
      <rgbColor rgb="FFEBF3FB"/>
      <rgbColor rgb="FF003366"/>
      <rgbColor rgb="FF339966"/>
      <rgbColor rgb="FF003300"/>
      <rgbColor rgb="FF333300"/>
      <rgbColor rgb="FF7B3F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tabSelected="1" topLeftCell="B1" zoomScaleNormal="100" workbookViewId="0">
      <pane ySplit="3" topLeftCell="A26" activePane="bottomLeft" state="frozen"/>
      <selection pane="bottomLeft" activeCell="K34" sqref="K34"/>
    </sheetView>
  </sheetViews>
  <sheetFormatPr baseColWidth="10" defaultColWidth="8.7109375" defaultRowHeight="15" x14ac:dyDescent="0.25"/>
  <cols>
    <col min="1" max="1" width="9" customWidth="1"/>
    <col min="2" max="2" width="16" customWidth="1"/>
    <col min="3" max="3" width="32" customWidth="1"/>
    <col min="4" max="4" width="28" customWidth="1"/>
    <col min="5" max="5" width="48" customWidth="1"/>
    <col min="6" max="7" width="36" customWidth="1"/>
    <col min="8" max="8" width="10" customWidth="1"/>
    <col min="9" max="9" width="14" customWidth="1"/>
    <col min="10" max="10" width="11" customWidth="1"/>
    <col min="11" max="11" width="16" customWidth="1"/>
    <col min="12" max="12" width="22" customWidth="1"/>
  </cols>
  <sheetData>
    <row r="1" spans="1:12" ht="31.5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19.5" customHeight="1" x14ac:dyDescent="0.25">
      <c r="A2" s="65" t="s">
        <v>1</v>
      </c>
      <c r="B2" s="65"/>
      <c r="C2" s="65"/>
      <c r="D2" s="65"/>
      <c r="E2" s="66" t="s">
        <v>2</v>
      </c>
      <c r="F2" s="66"/>
      <c r="G2" s="66"/>
      <c r="H2" s="66"/>
      <c r="I2" s="67" t="s">
        <v>3</v>
      </c>
      <c r="J2" s="67"/>
      <c r="K2" s="67"/>
      <c r="L2" s="67"/>
    </row>
    <row r="3" spans="1:12" ht="21.75" customHeight="1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</row>
    <row r="4" spans="1:12" ht="69.75" customHeight="1" x14ac:dyDescent="0.25">
      <c r="A4" s="2" t="s">
        <v>16</v>
      </c>
      <c r="B4" s="3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5" t="s">
        <v>22</v>
      </c>
      <c r="H4" s="6" t="s">
        <v>23</v>
      </c>
      <c r="I4" s="4"/>
      <c r="J4" s="52"/>
      <c r="K4" s="8" t="s">
        <v>24</v>
      </c>
      <c r="L4" s="4" t="s">
        <v>25</v>
      </c>
    </row>
    <row r="5" spans="1:12" ht="69.75" customHeight="1" x14ac:dyDescent="0.25">
      <c r="A5" s="2" t="s">
        <v>26</v>
      </c>
      <c r="B5" s="3" t="s">
        <v>17</v>
      </c>
      <c r="C5" s="9" t="s">
        <v>27</v>
      </c>
      <c r="D5" s="9" t="s">
        <v>28</v>
      </c>
      <c r="E5" s="9" t="s">
        <v>29</v>
      </c>
      <c r="F5" s="9" t="s">
        <v>30</v>
      </c>
      <c r="G5" s="10" t="s">
        <v>31</v>
      </c>
      <c r="H5" s="6" t="s">
        <v>23</v>
      </c>
      <c r="I5" s="9"/>
      <c r="J5" s="52"/>
      <c r="K5" s="8" t="s">
        <v>24</v>
      </c>
      <c r="L5" s="8" t="s">
        <v>32</v>
      </c>
    </row>
    <row r="6" spans="1:12" ht="69.75" customHeight="1" x14ac:dyDescent="0.25">
      <c r="A6" s="2" t="s">
        <v>33</v>
      </c>
      <c r="B6" s="3" t="s">
        <v>17</v>
      </c>
      <c r="C6" s="4" t="s">
        <v>34</v>
      </c>
      <c r="D6" s="4" t="s">
        <v>28</v>
      </c>
      <c r="E6" s="4" t="s">
        <v>35</v>
      </c>
      <c r="F6" s="4" t="s">
        <v>36</v>
      </c>
      <c r="G6" s="5" t="s">
        <v>36</v>
      </c>
      <c r="H6" s="6" t="s">
        <v>23</v>
      </c>
      <c r="I6" s="4"/>
      <c r="J6" s="52"/>
      <c r="K6" s="8" t="s">
        <v>24</v>
      </c>
      <c r="L6" s="4" t="s">
        <v>37</v>
      </c>
    </row>
    <row r="7" spans="1:12" ht="69.75" customHeight="1" x14ac:dyDescent="0.25">
      <c r="A7" s="2" t="s">
        <v>38</v>
      </c>
      <c r="B7" s="3" t="s">
        <v>17</v>
      </c>
      <c r="C7" s="9" t="s">
        <v>39</v>
      </c>
      <c r="D7" s="9" t="s">
        <v>28</v>
      </c>
      <c r="E7" s="9" t="s">
        <v>40</v>
      </c>
      <c r="F7" s="9" t="s">
        <v>41</v>
      </c>
      <c r="G7" s="10" t="s">
        <v>31</v>
      </c>
      <c r="H7" s="6" t="s">
        <v>23</v>
      </c>
      <c r="I7" s="9"/>
      <c r="J7" s="52"/>
      <c r="K7" s="8" t="s">
        <v>24</v>
      </c>
      <c r="L7" s="9" t="s">
        <v>42</v>
      </c>
    </row>
    <row r="8" spans="1:12" ht="69.75" customHeight="1" x14ac:dyDescent="0.25">
      <c r="A8" s="2" t="s">
        <v>43</v>
      </c>
      <c r="B8" s="3" t="s">
        <v>17</v>
      </c>
      <c r="C8" s="4" t="s">
        <v>44</v>
      </c>
      <c r="D8" s="4" t="s">
        <v>45</v>
      </c>
      <c r="E8" s="4" t="s">
        <v>46</v>
      </c>
      <c r="F8" s="4" t="s">
        <v>47</v>
      </c>
      <c r="G8" s="5" t="s">
        <v>47</v>
      </c>
      <c r="H8" s="6" t="s">
        <v>23</v>
      </c>
      <c r="I8" s="4"/>
      <c r="J8" s="52"/>
      <c r="K8" s="8" t="s">
        <v>24</v>
      </c>
      <c r="L8" s="4" t="s">
        <v>48</v>
      </c>
    </row>
    <row r="9" spans="1:12" ht="69.75" customHeight="1" x14ac:dyDescent="0.25">
      <c r="A9" s="2" t="s">
        <v>49</v>
      </c>
      <c r="B9" s="3" t="s">
        <v>17</v>
      </c>
      <c r="C9" s="9" t="s">
        <v>50</v>
      </c>
      <c r="D9" s="9" t="s">
        <v>51</v>
      </c>
      <c r="E9" s="8" t="s">
        <v>52</v>
      </c>
      <c r="F9" s="9" t="s">
        <v>53</v>
      </c>
      <c r="G9" s="10" t="s">
        <v>54</v>
      </c>
      <c r="H9" s="6" t="s">
        <v>23</v>
      </c>
      <c r="I9" s="9"/>
      <c r="J9" s="53"/>
      <c r="K9" s="8" t="s">
        <v>24</v>
      </c>
      <c r="L9" s="9" t="s">
        <v>55</v>
      </c>
    </row>
    <row r="10" spans="1:12" ht="69.75" customHeight="1" x14ac:dyDescent="0.25">
      <c r="A10" s="2" t="s">
        <v>56</v>
      </c>
      <c r="B10" s="12" t="s">
        <v>57</v>
      </c>
      <c r="C10" s="4" t="s">
        <v>58</v>
      </c>
      <c r="D10" s="13" t="s">
        <v>59</v>
      </c>
      <c r="E10" s="4" t="s">
        <v>60</v>
      </c>
      <c r="F10" s="4" t="s">
        <v>61</v>
      </c>
      <c r="G10" s="5" t="s">
        <v>62</v>
      </c>
      <c r="H10" s="6" t="s">
        <v>23</v>
      </c>
      <c r="I10" s="4"/>
      <c r="J10" s="14"/>
      <c r="K10" s="8" t="s">
        <v>24</v>
      </c>
      <c r="L10" s="4" t="s">
        <v>63</v>
      </c>
    </row>
    <row r="11" spans="1:12" ht="69.75" customHeight="1" x14ac:dyDescent="0.25">
      <c r="A11" s="2" t="s">
        <v>64</v>
      </c>
      <c r="B11" s="12" t="s">
        <v>57</v>
      </c>
      <c r="C11" s="9" t="s">
        <v>65</v>
      </c>
      <c r="D11" s="9" t="s">
        <v>66</v>
      </c>
      <c r="E11" s="9" t="s">
        <v>67</v>
      </c>
      <c r="F11" s="9" t="s">
        <v>68</v>
      </c>
      <c r="G11" s="10" t="s">
        <v>69</v>
      </c>
      <c r="H11" s="6" t="s">
        <v>23</v>
      </c>
      <c r="I11" s="9"/>
      <c r="J11" s="15"/>
      <c r="K11" s="8" t="s">
        <v>24</v>
      </c>
      <c r="L11" s="9" t="s">
        <v>70</v>
      </c>
    </row>
    <row r="12" spans="1:12" ht="69.75" customHeight="1" x14ac:dyDescent="0.25">
      <c r="A12" s="2" t="s">
        <v>71</v>
      </c>
      <c r="B12" s="12" t="s">
        <v>57</v>
      </c>
      <c r="C12" s="4" t="s">
        <v>72</v>
      </c>
      <c r="D12" s="4" t="s">
        <v>66</v>
      </c>
      <c r="E12" s="4" t="s">
        <v>73</v>
      </c>
      <c r="F12" s="4" t="s">
        <v>74</v>
      </c>
      <c r="G12" s="5" t="s">
        <v>75</v>
      </c>
      <c r="H12" s="6" t="s">
        <v>23</v>
      </c>
      <c r="I12" s="4"/>
      <c r="J12" s="14"/>
      <c r="K12" s="8" t="s">
        <v>24</v>
      </c>
      <c r="L12" s="4"/>
    </row>
    <row r="13" spans="1:12" ht="69.75" customHeight="1" x14ac:dyDescent="0.25">
      <c r="A13" s="2" t="s">
        <v>76</v>
      </c>
      <c r="B13" s="12" t="s">
        <v>57</v>
      </c>
      <c r="C13" s="9" t="s">
        <v>77</v>
      </c>
      <c r="D13" s="9" t="s">
        <v>66</v>
      </c>
      <c r="E13" s="9" t="s">
        <v>78</v>
      </c>
      <c r="F13" s="9" t="s">
        <v>79</v>
      </c>
      <c r="G13" s="10" t="s">
        <v>80</v>
      </c>
      <c r="H13" s="6" t="s">
        <v>23</v>
      </c>
      <c r="I13" s="9"/>
      <c r="J13" s="15"/>
      <c r="K13" s="8" t="s">
        <v>24</v>
      </c>
      <c r="L13" s="9"/>
    </row>
    <row r="14" spans="1:12" ht="69.75" customHeight="1" x14ac:dyDescent="0.25">
      <c r="A14" s="2" t="s">
        <v>81</v>
      </c>
      <c r="B14" s="12" t="s">
        <v>57</v>
      </c>
      <c r="C14" s="4" t="s">
        <v>82</v>
      </c>
      <c r="D14" s="4" t="s">
        <v>66</v>
      </c>
      <c r="E14" s="4" t="s">
        <v>83</v>
      </c>
      <c r="F14" s="4" t="s">
        <v>84</v>
      </c>
      <c r="G14" s="5" t="s">
        <v>85</v>
      </c>
      <c r="H14" s="6" t="s">
        <v>23</v>
      </c>
      <c r="I14" s="4"/>
      <c r="J14" s="14"/>
      <c r="K14" s="8" t="s">
        <v>24</v>
      </c>
      <c r="L14" s="4"/>
    </row>
    <row r="15" spans="1:12" ht="69.75" customHeight="1" x14ac:dyDescent="0.25">
      <c r="A15" s="2" t="s">
        <v>86</v>
      </c>
      <c r="B15" s="12" t="s">
        <v>57</v>
      </c>
      <c r="C15" s="9" t="s">
        <v>87</v>
      </c>
      <c r="D15" s="9" t="s">
        <v>66</v>
      </c>
      <c r="E15" s="9" t="s">
        <v>88</v>
      </c>
      <c r="F15" s="9" t="s">
        <v>89</v>
      </c>
      <c r="G15" s="10" t="s">
        <v>90</v>
      </c>
      <c r="H15" s="6" t="s">
        <v>23</v>
      </c>
      <c r="I15" s="9"/>
      <c r="J15" s="15"/>
      <c r="K15" s="8" t="s">
        <v>24</v>
      </c>
      <c r="L15" s="9" t="s">
        <v>91</v>
      </c>
    </row>
    <row r="16" spans="1:12" ht="69.75" customHeight="1" x14ac:dyDescent="0.25">
      <c r="A16" s="2" t="s">
        <v>92</v>
      </c>
      <c r="B16" s="16" t="s">
        <v>93</v>
      </c>
      <c r="C16" s="4" t="s">
        <v>94</v>
      </c>
      <c r="D16" s="4" t="s">
        <v>66</v>
      </c>
      <c r="E16" s="4" t="s">
        <v>95</v>
      </c>
      <c r="F16" s="4" t="s">
        <v>96</v>
      </c>
      <c r="G16" s="5" t="s">
        <v>97</v>
      </c>
      <c r="H16" s="6" t="s">
        <v>23</v>
      </c>
      <c r="I16" s="4"/>
      <c r="J16" s="14"/>
      <c r="K16" s="8" t="s">
        <v>24</v>
      </c>
      <c r="L16" s="4"/>
    </row>
    <row r="17" spans="1:12" ht="69.75" customHeight="1" x14ac:dyDescent="0.25">
      <c r="A17" s="2" t="s">
        <v>98</v>
      </c>
      <c r="B17" s="16" t="s">
        <v>93</v>
      </c>
      <c r="C17" s="9" t="s">
        <v>99</v>
      </c>
      <c r="D17" s="9" t="s">
        <v>66</v>
      </c>
      <c r="E17" s="9" t="s">
        <v>100</v>
      </c>
      <c r="F17" s="9" t="s">
        <v>101</v>
      </c>
      <c r="G17" s="10" t="s">
        <v>102</v>
      </c>
      <c r="H17" s="6" t="s">
        <v>23</v>
      </c>
      <c r="I17" s="9"/>
      <c r="J17" s="15"/>
      <c r="K17" s="8" t="s">
        <v>24</v>
      </c>
      <c r="L17" s="9"/>
    </row>
    <row r="18" spans="1:12" ht="69.75" customHeight="1" x14ac:dyDescent="0.25">
      <c r="A18" s="2" t="s">
        <v>103</v>
      </c>
      <c r="B18" s="16" t="s">
        <v>93</v>
      </c>
      <c r="C18" s="4" t="s">
        <v>104</v>
      </c>
      <c r="D18" s="4" t="s">
        <v>105</v>
      </c>
      <c r="E18" s="4" t="s">
        <v>106</v>
      </c>
      <c r="F18" s="4" t="s">
        <v>107</v>
      </c>
      <c r="G18" s="5" t="s">
        <v>108</v>
      </c>
      <c r="H18" s="6" t="s">
        <v>23</v>
      </c>
      <c r="I18" s="4"/>
      <c r="J18" s="14"/>
      <c r="K18" s="8" t="s">
        <v>24</v>
      </c>
      <c r="L18" s="4"/>
    </row>
    <row r="19" spans="1:12" ht="69.75" customHeight="1" x14ac:dyDescent="0.25">
      <c r="A19" s="2" t="s">
        <v>109</v>
      </c>
      <c r="B19" s="16" t="s">
        <v>93</v>
      </c>
      <c r="C19" s="9" t="s">
        <v>110</v>
      </c>
      <c r="D19" s="9" t="s">
        <v>105</v>
      </c>
      <c r="E19" s="9" t="s">
        <v>111</v>
      </c>
      <c r="F19" s="9" t="s">
        <v>112</v>
      </c>
      <c r="G19" s="17" t="s">
        <v>113</v>
      </c>
      <c r="H19" s="6" t="s">
        <v>23</v>
      </c>
      <c r="I19" s="9"/>
      <c r="J19" s="52"/>
      <c r="K19" s="8" t="s">
        <v>24</v>
      </c>
      <c r="L19" s="18"/>
    </row>
    <row r="20" spans="1:12" ht="69.75" customHeight="1" x14ac:dyDescent="0.25">
      <c r="A20" s="2" t="s">
        <v>114</v>
      </c>
      <c r="B20" s="16" t="s">
        <v>93</v>
      </c>
      <c r="C20" s="4" t="s">
        <v>115</v>
      </c>
      <c r="D20" s="4" t="s">
        <v>116</v>
      </c>
      <c r="E20" s="4" t="s">
        <v>117</v>
      </c>
      <c r="F20" s="4" t="s">
        <v>118</v>
      </c>
      <c r="G20" s="19" t="s">
        <v>119</v>
      </c>
      <c r="H20" s="6" t="s">
        <v>23</v>
      </c>
      <c r="I20" s="4"/>
      <c r="J20" s="52"/>
      <c r="K20" s="8" t="s">
        <v>24</v>
      </c>
      <c r="L20" s="18"/>
    </row>
    <row r="21" spans="1:12" ht="69.75" customHeight="1" x14ac:dyDescent="0.25">
      <c r="A21" s="2" t="s">
        <v>120</v>
      </c>
      <c r="B21" s="20" t="s">
        <v>121</v>
      </c>
      <c r="C21" s="9" t="s">
        <v>122</v>
      </c>
      <c r="D21" s="9" t="s">
        <v>123</v>
      </c>
      <c r="E21" s="9" t="s">
        <v>124</v>
      </c>
      <c r="F21" s="9" t="s">
        <v>125</v>
      </c>
      <c r="G21" s="17" t="s">
        <v>126</v>
      </c>
      <c r="H21" s="6" t="s">
        <v>23</v>
      </c>
      <c r="I21" s="9"/>
      <c r="J21" s="52"/>
      <c r="K21" s="8" t="s">
        <v>24</v>
      </c>
      <c r="L21" s="9"/>
    </row>
    <row r="22" spans="1:12" ht="69.75" customHeight="1" x14ac:dyDescent="0.25">
      <c r="A22" s="2" t="s">
        <v>127</v>
      </c>
      <c r="B22" s="20" t="s">
        <v>121</v>
      </c>
      <c r="C22" s="4" t="s">
        <v>128</v>
      </c>
      <c r="D22" s="4" t="s">
        <v>129</v>
      </c>
      <c r="E22" s="4" t="s">
        <v>130</v>
      </c>
      <c r="F22" s="4" t="s">
        <v>131</v>
      </c>
      <c r="G22" s="19" t="s">
        <v>132</v>
      </c>
      <c r="H22" s="6" t="s">
        <v>23</v>
      </c>
      <c r="I22" s="4"/>
      <c r="J22" s="55"/>
      <c r="K22" s="8" t="s">
        <v>24</v>
      </c>
      <c r="L22" s="4"/>
    </row>
    <row r="23" spans="1:12" ht="69.75" customHeight="1" x14ac:dyDescent="0.25">
      <c r="A23" s="2" t="s">
        <v>133</v>
      </c>
      <c r="B23" s="20" t="s">
        <v>121</v>
      </c>
      <c r="C23" s="9" t="s">
        <v>134</v>
      </c>
      <c r="D23" s="9" t="s">
        <v>129</v>
      </c>
      <c r="E23" s="9" t="s">
        <v>135</v>
      </c>
      <c r="F23" s="9" t="s">
        <v>136</v>
      </c>
      <c r="G23" s="10" t="s">
        <v>136</v>
      </c>
      <c r="H23" s="6" t="s">
        <v>23</v>
      </c>
      <c r="I23" s="9"/>
      <c r="J23" s="52"/>
      <c r="K23" s="8" t="s">
        <v>24</v>
      </c>
      <c r="L23" s="9" t="s">
        <v>138</v>
      </c>
    </row>
    <row r="24" spans="1:12" ht="69.75" customHeight="1" x14ac:dyDescent="0.25">
      <c r="A24" s="2" t="s">
        <v>139</v>
      </c>
      <c r="B24" s="20" t="s">
        <v>121</v>
      </c>
      <c r="C24" s="4" t="s">
        <v>140</v>
      </c>
      <c r="D24" s="4" t="s">
        <v>141</v>
      </c>
      <c r="E24" s="4" t="s">
        <v>142</v>
      </c>
      <c r="F24" s="4" t="s">
        <v>143</v>
      </c>
      <c r="G24" s="5" t="s">
        <v>144</v>
      </c>
      <c r="H24" s="6" t="s">
        <v>23</v>
      </c>
      <c r="I24" s="4"/>
      <c r="J24" s="52"/>
      <c r="K24" s="8" t="s">
        <v>24</v>
      </c>
      <c r="L24" s="4" t="s">
        <v>145</v>
      </c>
    </row>
    <row r="25" spans="1:12" ht="69.75" customHeight="1" x14ac:dyDescent="0.25">
      <c r="A25" s="2" t="s">
        <v>146</v>
      </c>
      <c r="B25" s="20" t="s">
        <v>121</v>
      </c>
      <c r="C25" s="9" t="s">
        <v>147</v>
      </c>
      <c r="D25" s="9" t="s">
        <v>148</v>
      </c>
      <c r="E25" s="9" t="s">
        <v>149</v>
      </c>
      <c r="F25" s="9" t="s">
        <v>150</v>
      </c>
      <c r="G25" s="10" t="s">
        <v>151</v>
      </c>
      <c r="H25" s="6" t="s">
        <v>23</v>
      </c>
      <c r="I25" s="9"/>
      <c r="J25" s="52"/>
      <c r="K25" s="8" t="s">
        <v>24</v>
      </c>
      <c r="L25" s="9" t="s">
        <v>152</v>
      </c>
    </row>
    <row r="26" spans="1:12" ht="69.75" customHeight="1" x14ac:dyDescent="0.25">
      <c r="A26" s="2" t="s">
        <v>153</v>
      </c>
      <c r="B26" s="20" t="s">
        <v>121</v>
      </c>
      <c r="C26" s="4" t="s">
        <v>154</v>
      </c>
      <c r="D26" s="4" t="s">
        <v>129</v>
      </c>
      <c r="E26" s="4" t="s">
        <v>155</v>
      </c>
      <c r="F26" s="4" t="s">
        <v>156</v>
      </c>
      <c r="G26" s="5" t="s">
        <v>156</v>
      </c>
      <c r="H26" s="6" t="s">
        <v>23</v>
      </c>
      <c r="I26" s="4"/>
      <c r="J26" s="53"/>
      <c r="K26" s="8" t="s">
        <v>24</v>
      </c>
      <c r="L26" s="4"/>
    </row>
    <row r="27" spans="1:12" ht="69.75" customHeight="1" x14ac:dyDescent="0.25">
      <c r="A27" s="2" t="s">
        <v>158</v>
      </c>
      <c r="B27" s="20" t="s">
        <v>121</v>
      </c>
      <c r="C27" s="9" t="s">
        <v>159</v>
      </c>
      <c r="D27" s="9" t="s">
        <v>148</v>
      </c>
      <c r="E27" s="9" t="s">
        <v>155</v>
      </c>
      <c r="F27" s="9" t="s">
        <v>160</v>
      </c>
      <c r="G27" s="10" t="s">
        <v>160</v>
      </c>
      <c r="H27" s="6" t="s">
        <v>23</v>
      </c>
      <c r="I27" s="9"/>
      <c r="J27" s="53"/>
      <c r="K27" s="8" t="s">
        <v>24</v>
      </c>
      <c r="L27" s="9"/>
    </row>
    <row r="28" spans="1:12" ht="69.75" customHeight="1" x14ac:dyDescent="0.25">
      <c r="A28" s="2" t="s">
        <v>161</v>
      </c>
      <c r="B28" s="21" t="s">
        <v>162</v>
      </c>
      <c r="C28" s="4" t="s">
        <v>163</v>
      </c>
      <c r="D28" s="4" t="s">
        <v>164</v>
      </c>
      <c r="E28" s="4" t="s">
        <v>165</v>
      </c>
      <c r="F28" s="4" t="s">
        <v>166</v>
      </c>
      <c r="G28" s="5" t="s">
        <v>167</v>
      </c>
      <c r="H28" s="6" t="s">
        <v>23</v>
      </c>
      <c r="I28" s="4"/>
      <c r="J28" s="53"/>
      <c r="K28" s="8" t="s">
        <v>24</v>
      </c>
      <c r="L28" s="4"/>
    </row>
    <row r="29" spans="1:12" ht="69.75" customHeight="1" x14ac:dyDescent="0.25">
      <c r="A29" s="2" t="s">
        <v>168</v>
      </c>
      <c r="B29" s="21" t="s">
        <v>162</v>
      </c>
      <c r="C29" s="9" t="s">
        <v>169</v>
      </c>
      <c r="D29" s="9" t="s">
        <v>170</v>
      </c>
      <c r="E29" s="9" t="s">
        <v>171</v>
      </c>
      <c r="F29" s="9" t="s">
        <v>172</v>
      </c>
      <c r="G29" s="10" t="s">
        <v>173</v>
      </c>
      <c r="H29" s="6" t="s">
        <v>23</v>
      </c>
      <c r="I29" s="9"/>
      <c r="J29" s="54"/>
      <c r="K29" s="8" t="s">
        <v>24</v>
      </c>
      <c r="L29" s="9"/>
    </row>
    <row r="30" spans="1:12" ht="69.75" customHeight="1" x14ac:dyDescent="0.25">
      <c r="A30" s="2" t="s">
        <v>174</v>
      </c>
      <c r="B30" s="21" t="s">
        <v>162</v>
      </c>
      <c r="C30" s="4" t="s">
        <v>175</v>
      </c>
      <c r="D30" s="4" t="s">
        <v>176</v>
      </c>
      <c r="E30" s="4" t="s">
        <v>177</v>
      </c>
      <c r="F30" s="4" t="s">
        <v>178</v>
      </c>
      <c r="G30" s="5" t="s">
        <v>179</v>
      </c>
      <c r="H30" s="7" t="s">
        <v>180</v>
      </c>
      <c r="I30" s="51" t="s">
        <v>181</v>
      </c>
      <c r="J30" s="11" t="s">
        <v>157</v>
      </c>
      <c r="K30" s="8" t="s">
        <v>24</v>
      </c>
      <c r="L30" s="4"/>
    </row>
  </sheetData>
  <mergeCells count="4">
    <mergeCell ref="A1:L1"/>
    <mergeCell ref="A2:D2"/>
    <mergeCell ref="E2:H2"/>
    <mergeCell ref="I2:L2"/>
  </mergeCells>
  <dataValidations count="3">
    <dataValidation type="list" allowBlank="1" sqref="H4:H30" xr:uid="{00000000-0002-0000-0000-000000000000}">
      <formula1>"Pass,Fail,Blocked,Pending,N/A"</formula1>
      <formula2>0</formula2>
    </dataValidation>
    <dataValidation type="list" allowBlank="1" sqref="I4:I30" xr:uid="{00000000-0002-0000-0000-000001000000}">
      <formula1>"Critical,Major,Minor,Trivial"</formula1>
      <formula2>0</formula2>
    </dataValidation>
    <dataValidation type="list" allowBlank="1" sqref="J4:J30" xr:uid="{00000000-0002-0000-0000-000002000000}">
      <formula1>"Alta,Media,Baja"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B74F-E6B1-4CFF-AD90-7BAC2D878602}">
  <dimension ref="A1:L19"/>
  <sheetViews>
    <sheetView showGridLines="0" topLeftCell="A4" zoomScaleNormal="100" workbookViewId="0">
      <selection activeCell="G5" sqref="G5"/>
    </sheetView>
  </sheetViews>
  <sheetFormatPr baseColWidth="10" defaultColWidth="8.7109375" defaultRowHeight="15" x14ac:dyDescent="0.25"/>
  <cols>
    <col min="1" max="1" width="10" style="18" customWidth="1"/>
    <col min="2" max="2" width="38" style="18" customWidth="1"/>
    <col min="3" max="3" width="13" style="18" customWidth="1"/>
    <col min="4" max="4" width="18" style="18" customWidth="1"/>
    <col min="5" max="6" width="50" style="18" customWidth="1"/>
    <col min="7" max="8" width="12" style="18" customWidth="1"/>
    <col min="9" max="9" width="13" style="18" customWidth="1"/>
    <col min="10" max="10" width="16" style="18" customWidth="1"/>
    <col min="11" max="11" width="12" style="18" customWidth="1"/>
    <col min="12" max="12" width="28" style="18" customWidth="1"/>
    <col min="13" max="16384" width="8.7109375" style="18"/>
  </cols>
  <sheetData>
    <row r="1" spans="1:12" ht="31.5" customHeight="1" x14ac:dyDescent="0.25">
      <c r="A1" s="68" t="s">
        <v>182</v>
      </c>
      <c r="B1" s="68"/>
      <c r="C1" s="68"/>
      <c r="D1" s="68"/>
      <c r="E1" s="68"/>
      <c r="F1" s="68"/>
      <c r="G1" s="68"/>
    </row>
    <row r="2" spans="1:12" ht="18" customHeight="1" x14ac:dyDescent="0.25">
      <c r="A2" s="69" t="s">
        <v>183</v>
      </c>
      <c r="B2" s="69"/>
      <c r="C2" s="69"/>
      <c r="D2" s="69"/>
      <c r="E2" s="69"/>
      <c r="F2" s="69"/>
      <c r="G2" s="69"/>
    </row>
    <row r="3" spans="1:12" ht="21.75" customHeight="1" x14ac:dyDescent="0.25">
      <c r="A3" s="22" t="s">
        <v>184</v>
      </c>
      <c r="B3" s="22" t="s">
        <v>185</v>
      </c>
      <c r="C3" s="22" t="s">
        <v>186</v>
      </c>
      <c r="D3" s="22" t="s">
        <v>187</v>
      </c>
      <c r="E3" s="22" t="s">
        <v>188</v>
      </c>
      <c r="F3" s="22" t="s">
        <v>189</v>
      </c>
      <c r="G3" s="22" t="s">
        <v>190</v>
      </c>
      <c r="H3" s="22" t="s">
        <v>13</v>
      </c>
      <c r="I3" s="22" t="s">
        <v>11</v>
      </c>
      <c r="J3" s="22" t="s">
        <v>191</v>
      </c>
      <c r="K3" s="22" t="s">
        <v>192</v>
      </c>
      <c r="L3" s="22" t="s">
        <v>193</v>
      </c>
    </row>
    <row r="4" spans="1:12" ht="75" customHeight="1" x14ac:dyDescent="0.25">
      <c r="A4" s="23" t="s">
        <v>194</v>
      </c>
      <c r="B4" s="60" t="s">
        <v>195</v>
      </c>
      <c r="C4" s="60" t="s">
        <v>196</v>
      </c>
      <c r="D4" s="4" t="s">
        <v>197</v>
      </c>
      <c r="E4" s="60" t="s">
        <v>198</v>
      </c>
      <c r="F4" s="60" t="s">
        <v>199</v>
      </c>
      <c r="G4" s="59" t="s">
        <v>200</v>
      </c>
      <c r="H4" s="58" t="s">
        <v>137</v>
      </c>
      <c r="I4" s="57" t="s">
        <v>201</v>
      </c>
      <c r="J4" s="4" t="s">
        <v>24</v>
      </c>
      <c r="K4" s="63">
        <v>46113</v>
      </c>
      <c r="L4" s="60" t="s">
        <v>202</v>
      </c>
    </row>
    <row r="5" spans="1:12" ht="75" customHeight="1" x14ac:dyDescent="0.25">
      <c r="A5" s="23" t="s">
        <v>203</v>
      </c>
      <c r="B5" s="62" t="s">
        <v>204</v>
      </c>
      <c r="C5" s="9" t="s">
        <v>56</v>
      </c>
      <c r="D5" s="9" t="s">
        <v>197</v>
      </c>
      <c r="E5" s="62" t="s">
        <v>205</v>
      </c>
      <c r="F5" s="62" t="s">
        <v>206</v>
      </c>
      <c r="G5" s="57" t="s">
        <v>181</v>
      </c>
      <c r="H5" s="57" t="s">
        <v>157</v>
      </c>
      <c r="I5" s="57" t="s">
        <v>201</v>
      </c>
      <c r="J5" s="9" t="s">
        <v>24</v>
      </c>
      <c r="K5" s="63">
        <v>46113</v>
      </c>
      <c r="L5" s="9" t="s">
        <v>207</v>
      </c>
    </row>
    <row r="6" spans="1:12" ht="75" customHeight="1" x14ac:dyDescent="0.25">
      <c r="A6" s="23" t="s">
        <v>208</v>
      </c>
      <c r="B6" s="60" t="s">
        <v>209</v>
      </c>
      <c r="C6" s="60" t="s">
        <v>210</v>
      </c>
      <c r="D6" s="4" t="s">
        <v>197</v>
      </c>
      <c r="E6" s="60" t="s">
        <v>211</v>
      </c>
      <c r="F6" s="4" t="s">
        <v>212</v>
      </c>
      <c r="G6" s="58" t="s">
        <v>213</v>
      </c>
      <c r="H6" s="58" t="s">
        <v>137</v>
      </c>
      <c r="I6" s="57" t="s">
        <v>201</v>
      </c>
      <c r="J6" s="4" t="s">
        <v>24</v>
      </c>
      <c r="K6" s="63">
        <v>46113</v>
      </c>
      <c r="L6" s="4" t="s">
        <v>214</v>
      </c>
    </row>
    <row r="7" spans="1:12" ht="60" customHeight="1" x14ac:dyDescent="0.25">
      <c r="A7" s="56" t="s">
        <v>215</v>
      </c>
      <c r="B7" s="60" t="s">
        <v>216</v>
      </c>
      <c r="C7" s="60" t="s">
        <v>86</v>
      </c>
      <c r="D7" s="4" t="s">
        <v>197</v>
      </c>
      <c r="E7" s="60" t="s">
        <v>217</v>
      </c>
      <c r="F7" s="60" t="s">
        <v>218</v>
      </c>
      <c r="G7" s="58" t="s">
        <v>213</v>
      </c>
      <c r="H7" s="58" t="s">
        <v>137</v>
      </c>
      <c r="I7" s="57" t="s">
        <v>201</v>
      </c>
      <c r="J7" s="4" t="s">
        <v>24</v>
      </c>
      <c r="K7" s="63">
        <v>46113</v>
      </c>
      <c r="L7" s="4" t="s">
        <v>251</v>
      </c>
    </row>
    <row r="8" spans="1:12" ht="60" customHeight="1" x14ac:dyDescent="0.25">
      <c r="A8" s="56" t="s">
        <v>219</v>
      </c>
      <c r="B8" s="60" t="s">
        <v>220</v>
      </c>
      <c r="C8" s="25" t="s">
        <v>103</v>
      </c>
      <c r="D8" s="60" t="s">
        <v>197</v>
      </c>
      <c r="E8" s="18" t="s">
        <v>250</v>
      </c>
      <c r="F8" s="25" t="s">
        <v>249</v>
      </c>
      <c r="G8" s="59" t="s">
        <v>200</v>
      </c>
      <c r="H8" s="58" t="s">
        <v>137</v>
      </c>
      <c r="I8" s="57" t="s">
        <v>201</v>
      </c>
      <c r="J8" s="4" t="s">
        <v>24</v>
      </c>
      <c r="K8" s="63">
        <v>46113</v>
      </c>
      <c r="L8" s="4" t="s">
        <v>252</v>
      </c>
    </row>
    <row r="9" spans="1:12" ht="60" customHeight="1" x14ac:dyDescent="0.25">
      <c r="A9" s="56" t="s">
        <v>248</v>
      </c>
      <c r="B9" s="18" t="s">
        <v>222</v>
      </c>
      <c r="C9" s="25" t="s">
        <v>127</v>
      </c>
      <c r="D9" s="60" t="s">
        <v>197</v>
      </c>
      <c r="E9" s="25" t="s">
        <v>223</v>
      </c>
      <c r="F9" s="25" t="s">
        <v>224</v>
      </c>
      <c r="G9" s="58" t="s">
        <v>213</v>
      </c>
      <c r="H9" s="58" t="s">
        <v>137</v>
      </c>
      <c r="I9" s="57" t="s">
        <v>201</v>
      </c>
      <c r="J9" s="4" t="s">
        <v>24</v>
      </c>
      <c r="K9" s="63">
        <v>46113</v>
      </c>
      <c r="L9" s="4" t="s">
        <v>253</v>
      </c>
    </row>
    <row r="10" spans="1:12" ht="60" customHeight="1" x14ac:dyDescent="0.25">
      <c r="A10" s="56" t="s">
        <v>221</v>
      </c>
      <c r="B10" s="25" t="s">
        <v>247</v>
      </c>
      <c r="C10" s="25" t="s">
        <v>168</v>
      </c>
      <c r="D10" s="60" t="s">
        <v>197</v>
      </c>
      <c r="E10" s="25" t="s">
        <v>246</v>
      </c>
      <c r="F10" s="25" t="s">
        <v>245</v>
      </c>
      <c r="G10" s="61" t="s">
        <v>157</v>
      </c>
      <c r="H10" s="61" t="s">
        <v>157</v>
      </c>
      <c r="I10" s="57" t="s">
        <v>201</v>
      </c>
      <c r="J10" s="4" t="s">
        <v>24</v>
      </c>
      <c r="K10" s="63">
        <v>46113</v>
      </c>
      <c r="L10" s="4" t="s">
        <v>225</v>
      </c>
    </row>
    <row r="11" spans="1:12" ht="60" customHeight="1" x14ac:dyDescent="0.25">
      <c r="A11" s="56" t="s">
        <v>244</v>
      </c>
      <c r="B11" s="24" t="s">
        <v>243</v>
      </c>
      <c r="C11" s="25" t="s">
        <v>174</v>
      </c>
      <c r="D11" s="60" t="s">
        <v>197</v>
      </c>
      <c r="E11" s="24" t="s">
        <v>242</v>
      </c>
      <c r="F11" s="24" t="s">
        <v>241</v>
      </c>
      <c r="G11" s="59" t="s">
        <v>181</v>
      </c>
      <c r="H11" s="58" t="s">
        <v>137</v>
      </c>
      <c r="I11" s="57" t="s">
        <v>201</v>
      </c>
      <c r="J11" s="4" t="s">
        <v>24</v>
      </c>
      <c r="K11" s="63">
        <v>46113</v>
      </c>
      <c r="L11" s="4" t="s">
        <v>254</v>
      </c>
    </row>
    <row r="12" spans="1:12" ht="60" customHeight="1" x14ac:dyDescent="0.25">
      <c r="A12" s="56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60" customHeight="1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60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ht="60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</row>
    <row r="16" spans="1:12" ht="60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ht="60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</row>
    <row r="18" spans="1:12" ht="60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ht="60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zoomScaleNormal="100" workbookViewId="0">
      <selection activeCell="K14" sqref="K14"/>
    </sheetView>
  </sheetViews>
  <sheetFormatPr baseColWidth="10" defaultColWidth="8.7109375" defaultRowHeight="15" x14ac:dyDescent="0.25"/>
  <cols>
    <col min="1" max="1" width="30" customWidth="1"/>
    <col min="2" max="2" width="16" customWidth="1"/>
    <col min="4" max="4" width="28" customWidth="1"/>
    <col min="5" max="5" width="10" customWidth="1"/>
    <col min="6" max="6" width="18" customWidth="1"/>
  </cols>
  <sheetData>
    <row r="1" spans="1:6" ht="31.5" customHeight="1" x14ac:dyDescent="0.25">
      <c r="A1" s="64" t="s">
        <v>226</v>
      </c>
      <c r="B1" s="64"/>
      <c r="C1" s="64"/>
      <c r="D1" s="64"/>
      <c r="E1" s="64"/>
      <c r="F1" s="64"/>
    </row>
    <row r="3" spans="1:6" ht="19.5" customHeight="1" x14ac:dyDescent="0.25">
      <c r="A3" s="70" t="s">
        <v>227</v>
      </c>
      <c r="B3" s="70"/>
      <c r="D3" s="70" t="s">
        <v>228</v>
      </c>
      <c r="E3" s="70"/>
      <c r="F3" s="70"/>
    </row>
    <row r="4" spans="1:6" ht="27.75" customHeight="1" x14ac:dyDescent="0.25">
      <c r="A4" s="26" t="s">
        <v>229</v>
      </c>
      <c r="B4" s="27">
        <f>COUNTA('Casos de Prueba'!A4:A30)</f>
        <v>27</v>
      </c>
      <c r="D4" s="28" t="s">
        <v>17</v>
      </c>
      <c r="E4" s="29">
        <v>6</v>
      </c>
      <c r="F4" s="30" t="s">
        <v>230</v>
      </c>
    </row>
    <row r="5" spans="1:6" ht="27.75" customHeight="1" x14ac:dyDescent="0.25">
      <c r="A5" s="31" t="s">
        <v>231</v>
      </c>
      <c r="B5" s="32">
        <f>COUNTIF('Casos de Prueba'!H4:H30,"Pass")</f>
        <v>26</v>
      </c>
      <c r="D5" s="33" t="s">
        <v>57</v>
      </c>
      <c r="E5" s="34">
        <v>6</v>
      </c>
      <c r="F5" s="35" t="s">
        <v>230</v>
      </c>
    </row>
    <row r="6" spans="1:6" ht="27.75" customHeight="1" x14ac:dyDescent="0.25">
      <c r="A6" s="26" t="s">
        <v>232</v>
      </c>
      <c r="B6" s="36">
        <f>COUNTIF('Casos de Prueba'!H4:H30,"Fail")</f>
        <v>1</v>
      </c>
      <c r="D6" s="37" t="s">
        <v>93</v>
      </c>
      <c r="E6" s="38">
        <v>5</v>
      </c>
      <c r="F6" s="39" t="s">
        <v>230</v>
      </c>
    </row>
    <row r="7" spans="1:6" ht="27.75" customHeight="1" x14ac:dyDescent="0.25">
      <c r="A7" s="31" t="s">
        <v>233</v>
      </c>
      <c r="B7" s="40">
        <f>COUNTIF('Casos de Prueba'!H4:H30,"Blocked")</f>
        <v>0</v>
      </c>
      <c r="D7" s="41" t="s">
        <v>121</v>
      </c>
      <c r="E7" s="42">
        <v>7</v>
      </c>
      <c r="F7" s="43" t="s">
        <v>230</v>
      </c>
    </row>
    <row r="8" spans="1:6" ht="27.75" customHeight="1" x14ac:dyDescent="0.25">
      <c r="A8" s="26" t="s">
        <v>234</v>
      </c>
      <c r="B8" s="44">
        <f>COUNTIF('Casos de Prueba'!H4:H30,"Pending")</f>
        <v>0</v>
      </c>
      <c r="D8" s="45" t="s">
        <v>162</v>
      </c>
      <c r="E8" s="46">
        <v>3</v>
      </c>
      <c r="F8" s="47" t="s">
        <v>230</v>
      </c>
    </row>
    <row r="9" spans="1:6" ht="27.75" customHeight="1" x14ac:dyDescent="0.25">
      <c r="A9" s="31" t="s">
        <v>235</v>
      </c>
      <c r="B9" s="48">
        <f>IF(B4=0,0,ROUND((B5+B6+B7)*100/B4,1))</f>
        <v>100</v>
      </c>
    </row>
    <row r="10" spans="1:6" ht="27.75" customHeight="1" x14ac:dyDescent="0.25">
      <c r="A10" s="26" t="s">
        <v>236</v>
      </c>
      <c r="B10" s="49">
        <v>8</v>
      </c>
    </row>
    <row r="11" spans="1:6" ht="27.75" customHeight="1" x14ac:dyDescent="0.25">
      <c r="A11" s="31" t="s">
        <v>237</v>
      </c>
      <c r="B11" s="36">
        <v>3</v>
      </c>
    </row>
    <row r="12" spans="1:6" ht="27.75" customHeight="1" x14ac:dyDescent="0.25">
      <c r="A12" s="26" t="s">
        <v>238</v>
      </c>
      <c r="B12" s="50">
        <v>2</v>
      </c>
    </row>
    <row r="13" spans="1:6" ht="27.75" customHeight="1" x14ac:dyDescent="0.25">
      <c r="A13" s="31" t="s">
        <v>255</v>
      </c>
      <c r="B13" s="40">
        <v>1</v>
      </c>
    </row>
    <row r="14" spans="1:6" ht="15.75" x14ac:dyDescent="0.25">
      <c r="A14" s="31" t="s">
        <v>239</v>
      </c>
      <c r="B14" s="40">
        <v>2</v>
      </c>
    </row>
    <row r="16" spans="1:6" ht="15" customHeight="1" x14ac:dyDescent="0.25">
      <c r="A16" s="71" t="s">
        <v>240</v>
      </c>
      <c r="B16" s="71"/>
      <c r="C16" s="71"/>
      <c r="D16" s="71"/>
      <c r="E16" s="71"/>
      <c r="F16" s="71"/>
    </row>
  </sheetData>
  <mergeCells count="4">
    <mergeCell ref="A1:F1"/>
    <mergeCell ref="A3:B3"/>
    <mergeCell ref="D3:F3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Bug Reports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Enmanuel Villegas Duarte</cp:lastModifiedBy>
  <cp:revision>0</cp:revision>
  <dcterms:created xsi:type="dcterms:W3CDTF">2026-04-24T21:02:05Z</dcterms:created>
  <dcterms:modified xsi:type="dcterms:W3CDTF">2026-04-27T02:22:39Z</dcterms:modified>
  <dc:language>en-US</dc:language>
</cp:coreProperties>
</file>